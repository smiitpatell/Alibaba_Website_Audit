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 1" sheetId="1" r:id="rId5"/>
    <sheet state="visible" name="Level 2" sheetId="2" r:id="rId6"/>
    <sheet state="visible" name="L3 Performance" sheetId="3" r:id="rId7"/>
    <sheet state="visible" name="L3 Accessibility" sheetId="4" r:id="rId8"/>
    <sheet state="visible" name="L3 Best Practices" sheetId="5" r:id="rId9"/>
    <sheet state="visible" name="L3 SEO" sheetId="6" r:id="rId10"/>
  </sheets>
  <definedNames/>
  <calcPr/>
</workbook>
</file>

<file path=xl/sharedStrings.xml><?xml version="1.0" encoding="utf-8"?>
<sst xmlns="http://schemas.openxmlformats.org/spreadsheetml/2006/main" count="691" uniqueCount="435">
  <si>
    <t>Alibaba Website Performance</t>
  </si>
  <si>
    <t>LEVEL 1 — Website Score (Category Roll-Up)</t>
  </si>
  <si>
    <t>Auto-calculated from Level 2 Sub-Factor scores below. Overall = weighted avg of the 4 categories.</t>
  </si>
  <si>
    <t>Category ID</t>
  </si>
  <si>
    <t>Category</t>
  </si>
  <si>
    <t>Weight</t>
  </si>
  <si>
    <t>Score</t>
  </si>
  <si>
    <t>Status</t>
  </si>
  <si>
    <t>C1</t>
  </si>
  <si>
    <t>Performance</t>
  </si>
  <si>
    <t>C2</t>
  </si>
  <si>
    <t>Accessibility</t>
  </si>
  <si>
    <t>C3</t>
  </si>
  <si>
    <t>Best Practices</t>
  </si>
  <si>
    <t>C4</t>
  </si>
  <si>
    <t>SEO</t>
  </si>
  <si>
    <t>OVR</t>
  </si>
  <si>
    <t>Overall Score</t>
  </si>
  <si>
    <t>calculaition 2</t>
  </si>
  <si>
    <t>Dummy</t>
  </si>
  <si>
    <t xml:space="preserve">LEVEL 2 — Sub-Factor Breakdown </t>
  </si>
  <si>
    <t>Sub-Factor Score = average of its Level 3 factor scores (Reference rows excluded). Category Score above pulls from here.</t>
  </si>
  <si>
    <t>Performance — Sub-Factors</t>
  </si>
  <si>
    <t>Sub-Factor ID</t>
  </si>
  <si>
    <t>Metric</t>
  </si>
  <si>
    <t>Value</t>
  </si>
  <si>
    <t>P1</t>
  </si>
  <si>
    <t>Largest Contentful Paint (LCP)</t>
  </si>
  <si>
    <t>2.1 s</t>
  </si>
  <si>
    <t>P2</t>
  </si>
  <si>
    <t>Interaction to Next Paint (INP)</t>
  </si>
  <si>
    <t>290 ms</t>
  </si>
  <si>
    <t>P3</t>
  </si>
  <si>
    <t>Cumulative Layout Shift (CLS)</t>
  </si>
  <si>
    <t>P4</t>
  </si>
  <si>
    <t>Visual Complexity</t>
  </si>
  <si>
    <t>High Content Density</t>
  </si>
  <si>
    <t>P5</t>
  </si>
  <si>
    <t>Hover &amp; Animation Experience</t>
  </si>
  <si>
    <t>Aggressive Zoom Effect</t>
  </si>
  <si>
    <t>Final Sub-Factor Score</t>
  </si>
  <si>
    <t>Accessibility— Sub-Factors</t>
  </si>
  <si>
    <t>Q1</t>
  </si>
  <si>
    <t>Keyboard Navigation</t>
  </si>
  <si>
    <t>Fully Accessible</t>
  </si>
  <si>
    <t>Q2</t>
  </si>
  <si>
    <t>Screen Reader Compatibility</t>
  </si>
  <si>
    <t>Compatible</t>
  </si>
  <si>
    <t>Q3</t>
  </si>
  <si>
    <t>Color Contrast (WCAG 2.2 AA)</t>
  </si>
  <si>
    <t>Pass</t>
  </si>
  <si>
    <t>Q4</t>
  </si>
  <si>
    <t>Semantic HTML &amp; WAI-ARIA</t>
  </si>
  <si>
    <t>Mostly Compliant</t>
  </si>
  <si>
    <t>Q5</t>
  </si>
  <si>
    <t>Forms &amp; Interactive Elements</t>
  </si>
  <si>
    <t>Minor Accessibility Issues</t>
  </si>
  <si>
    <t>Q6</t>
  </si>
  <si>
    <t>Alternative Text &amp; Media Accessibility</t>
  </si>
  <si>
    <t>Complete</t>
  </si>
  <si>
    <t>Best Practices— Sub-Factors</t>
  </si>
  <si>
    <t>R1</t>
  </si>
  <si>
    <t>Browser Console Errors</t>
  </si>
  <si>
    <t>No Critical Errors</t>
  </si>
  <si>
    <t>R2</t>
  </si>
  <si>
    <t>HTTPS &amp; Secure Resources</t>
  </si>
  <si>
    <t>Fully Secure</t>
  </si>
  <si>
    <t>R3</t>
  </si>
  <si>
    <t>JavaScript &amp; API Best Practices</t>
  </si>
  <si>
    <t>Mostly Optimized</t>
  </si>
  <si>
    <t>R4</t>
  </si>
  <si>
    <t>Modern Web Standards Compliance</t>
  </si>
  <si>
    <t>R5</t>
  </si>
  <si>
    <t>Third-Party Libraries &amp; Dependencies</t>
  </si>
  <si>
    <t>Up-to-Date</t>
  </si>
  <si>
    <t>SEO— Sub-Factors</t>
  </si>
  <si>
    <t>S1</t>
  </si>
  <si>
    <t>Meta Tags Optimization</t>
  </si>
  <si>
    <t>Well Optimized</t>
  </si>
  <si>
    <t>S2</t>
  </si>
  <si>
    <t>Structured Data (Schema Markup)</t>
  </si>
  <si>
    <t>Partially Implemented</t>
  </si>
  <si>
    <t>S3</t>
  </si>
  <si>
    <t>Mobile SEO &amp; Responsive Design</t>
  </si>
  <si>
    <t>Fully Responsive</t>
  </si>
  <si>
    <t>S4</t>
  </si>
  <si>
    <t>Content Optimization</t>
  </si>
  <si>
    <t>S5</t>
  </si>
  <si>
    <t>Internal Linking &amp; URL Structure</t>
  </si>
  <si>
    <t>Good Structure</t>
  </si>
  <si>
    <t>LEVEL 3 — Details Factor ( Performance )</t>
  </si>
  <si>
    <t>Level 3 : Largest Contentful Paint (LCP) - P1</t>
  </si>
  <si>
    <t>LCP (Largest Contentful Paint)</t>
  </si>
  <si>
    <t>Factor id</t>
  </si>
  <si>
    <t>Sub Factor id</t>
  </si>
  <si>
    <t>Factor</t>
  </si>
  <si>
    <t>P1A1</t>
  </si>
  <si>
    <t>Server Response Time (TTFB)</t>
  </si>
  <si>
    <t>450 ms</t>
  </si>
  <si>
    <t>P1A2</t>
  </si>
  <si>
    <t>Image Optimization</t>
  </si>
  <si>
    <t>WebP, Compressed</t>
  </si>
  <si>
    <t>P1A3</t>
  </si>
  <si>
    <t>Render Blocking CSS/JS</t>
  </si>
  <si>
    <t>2 Blocking Resources</t>
  </si>
  <si>
    <t>P1A4</t>
  </si>
  <si>
    <t>Lazy Loading</t>
  </si>
  <si>
    <t>Implemented</t>
  </si>
  <si>
    <t>P1A5</t>
  </si>
  <si>
    <t>CDN &amp; Browser Caching</t>
  </si>
  <si>
    <t>CDN Enabled, Cache Optimized</t>
  </si>
  <si>
    <t>Final LCP Score</t>
  </si>
  <si>
    <t>Level 3 : Interaction to Next Paint (INP) - P2</t>
  </si>
  <si>
    <t>P2A1</t>
  </si>
  <si>
    <t>JavaScript Execution Time</t>
  </si>
  <si>
    <t>220 ms</t>
  </si>
  <si>
    <t>P2A2</t>
  </si>
  <si>
    <t>Main Thread Blocking</t>
  </si>
  <si>
    <t>Moderate</t>
  </si>
  <si>
    <t>P2A3</t>
  </si>
  <si>
    <t>Event Handler Efficiency</t>
  </si>
  <si>
    <t>Optimized</t>
  </si>
  <si>
    <t>P2A4</t>
  </si>
  <si>
    <t>DOM Event Processing</t>
  </si>
  <si>
    <t>Fast</t>
  </si>
  <si>
    <t>P2A5</t>
  </si>
  <si>
    <t>Input Delay</t>
  </si>
  <si>
    <t>85 ms</t>
  </si>
  <si>
    <t>P2A6</t>
  </si>
  <si>
    <t>Third-party Script Impact</t>
  </si>
  <si>
    <t>Medium</t>
  </si>
  <si>
    <t>P2A7</t>
  </si>
  <si>
    <t>Long Tasks (&gt;50 ms)</t>
  </si>
  <si>
    <t>3 Tasks</t>
  </si>
  <si>
    <t>P2A8</t>
  </si>
  <si>
    <t>Browser Rendering Time</t>
  </si>
  <si>
    <t>45 ms</t>
  </si>
  <si>
    <t>Level 3 : Cumulative Layout Shift (CLS) - P3</t>
  </si>
  <si>
    <t>P3A1</t>
  </si>
  <si>
    <t>Image Dimension Attributes</t>
  </si>
  <si>
    <t>P3A2</t>
  </si>
  <si>
    <t>Ad/Embed Reserved Space</t>
  </si>
  <si>
    <t>Reserved</t>
  </si>
  <si>
    <t>P3A3</t>
  </si>
  <si>
    <t>Font Loading Stability</t>
  </si>
  <si>
    <t>Good</t>
  </si>
  <si>
    <t>P3A4</t>
  </si>
  <si>
    <t>Dynamic Content Stability</t>
  </si>
  <si>
    <t>Stable</t>
  </si>
  <si>
    <t>P3A5</t>
  </si>
  <si>
    <t>Animation Layout Impact</t>
  </si>
  <si>
    <t>Minimal</t>
  </si>
  <si>
    <t>P3A6</t>
  </si>
  <si>
    <t>Lazy-loaded Content Shift</t>
  </si>
  <si>
    <t>Very Low</t>
  </si>
  <si>
    <t>P3A7</t>
  </si>
  <si>
    <t>DOM Reflow Frequency</t>
  </si>
  <si>
    <t>Low</t>
  </si>
  <si>
    <t>P3A8</t>
  </si>
  <si>
    <t>Unexpected Layout Shifts</t>
  </si>
  <si>
    <t>None</t>
  </si>
  <si>
    <t>Level 3 : Visual Complexity - P4</t>
  </si>
  <si>
    <t>P4A1</t>
  </si>
  <si>
    <t>Content Density</t>
  </si>
  <si>
    <t>High</t>
  </si>
  <si>
    <t>P4A2</t>
  </si>
  <si>
    <t>White Space</t>
  </si>
  <si>
    <t>P4A3</t>
  </si>
  <si>
    <t>Visual Hierarchy</t>
  </si>
  <si>
    <t>P4A4</t>
  </si>
  <si>
    <t>Color Consistency</t>
  </si>
  <si>
    <t>Consistent</t>
  </si>
  <si>
    <t>P4A5</t>
  </si>
  <si>
    <t>Navigation Simplicity</t>
  </si>
  <si>
    <t>Final Visual Complexity Score</t>
  </si>
  <si>
    <t>Level 3 : Hover &amp; Animation Experience - P5</t>
  </si>
  <si>
    <t>P5A1</t>
  </si>
  <si>
    <t>Animation Smoothness</t>
  </si>
  <si>
    <t>Smooth</t>
  </si>
  <si>
    <t>P5A2</t>
  </si>
  <si>
    <t>Hover Scale</t>
  </si>
  <si>
    <t>1.12x Zoom</t>
  </si>
  <si>
    <t>P5A3</t>
  </si>
  <si>
    <t>Transition Duration</t>
  </si>
  <si>
    <t>300 ms</t>
  </si>
  <si>
    <t>P5A4</t>
  </si>
  <si>
    <t>Consistency</t>
  </si>
  <si>
    <t>Mostly Consistent</t>
  </si>
  <si>
    <t>P5A5</t>
  </si>
  <si>
    <t>Accessibility (Reduced Motion)</t>
  </si>
  <si>
    <t>Not Supported</t>
  </si>
  <si>
    <t>LEVEL 3 — Details Factor ( Accessibility )</t>
  </si>
  <si>
    <t>Level 3 : Keyboard Navigation - Q1</t>
  </si>
  <si>
    <t xml:space="preserve"> Keyboard Navigation</t>
  </si>
  <si>
    <t>Q1A1</t>
  </si>
  <si>
    <t>Tab Navigation</t>
  </si>
  <si>
    <t>Fully Functional</t>
  </si>
  <si>
    <t>Q1A2</t>
  </si>
  <si>
    <t>Logical Focus Order</t>
  </si>
  <si>
    <t>Correct</t>
  </si>
  <si>
    <t>Q1A3</t>
  </si>
  <si>
    <t>Visible Focus Indicator</t>
  </si>
  <si>
    <t>Clearly Visible</t>
  </si>
  <si>
    <t>Q1A4</t>
  </si>
  <si>
    <t>Skip Navigation Link</t>
  </si>
  <si>
    <t>Available</t>
  </si>
  <si>
    <t>Q1A5</t>
  </si>
  <si>
    <t>Keyboard Trap Prevention</t>
  </si>
  <si>
    <t>No Keyboard Traps</t>
  </si>
  <si>
    <t>Q1A6</t>
  </si>
  <si>
    <t>Keyboard Accessibility for Interactive Elements</t>
  </si>
  <si>
    <t>Final Keyboard Navigation Score</t>
  </si>
  <si>
    <t>Level 3 : Screen Reader Compatibility - Q2</t>
  </si>
  <si>
    <t>ARIA Labels &amp; Roles</t>
  </si>
  <si>
    <t>Properly Implemented</t>
  </si>
  <si>
    <t>Semantic HTML Support</t>
  </si>
  <si>
    <t>Fully Supported</t>
  </si>
  <si>
    <t>Image Alternative Text (Alt Text)</t>
  </si>
  <si>
    <t>Form Labels &amp; Field Descriptions</t>
  </si>
  <si>
    <t>Mostly Complete</t>
  </si>
  <si>
    <t>Dynamic Content Announcements</t>
  </si>
  <si>
    <t>Partially Supported</t>
  </si>
  <si>
    <t>Screen Reader Navigation &amp; Reading Order</t>
  </si>
  <si>
    <t>Logical &amp; Consistent</t>
  </si>
  <si>
    <t>Final Screen Reader Compatibility Score</t>
  </si>
  <si>
    <t>Level 3 : Color Contrast (WCAG 2.2 AA) - Q3</t>
  </si>
  <si>
    <t>Q3A1</t>
  </si>
  <si>
    <t>Text-to-Background Contrast Ratio</t>
  </si>
  <si>
    <t>WCAG AA Compliant</t>
  </si>
  <si>
    <t>Q3A2</t>
  </si>
  <si>
    <t>Large Text Contrast Compliance</t>
  </si>
  <si>
    <t>Fully Compliant</t>
  </si>
  <si>
    <t>Q3A3</t>
  </si>
  <si>
    <t>Interactive Elements Contrast</t>
  </si>
  <si>
    <t>Good Visibility</t>
  </si>
  <si>
    <t>Q3A4</t>
  </si>
  <si>
    <t>Link &amp; Button Contrast</t>
  </si>
  <si>
    <t>Clearly Distinguishable</t>
  </si>
  <si>
    <t>Q3A5</t>
  </si>
  <si>
    <t>Focus Indicator Contrast</t>
  </si>
  <si>
    <t>Highly Visible</t>
  </si>
  <si>
    <t>Q3A6</t>
  </si>
  <si>
    <t>Non-Text UI Components Contrast</t>
  </si>
  <si>
    <t>Final Color Contrast (WCAG 2.2 AA) Score</t>
  </si>
  <si>
    <t>Level 3 : Semantic HTML &amp; WAI-ARIA -Q4</t>
  </si>
  <si>
    <t>Q4A1</t>
  </si>
  <si>
    <t>Semantic HTML Elements Usage</t>
  </si>
  <si>
    <t>Q4A2</t>
  </si>
  <si>
    <t>Heading Structure (H1–H6)</t>
  </si>
  <si>
    <t>Well Structured</t>
  </si>
  <si>
    <t>Q4A3</t>
  </si>
  <si>
    <t>WAI-ARIA Roles &amp; Attributes</t>
  </si>
  <si>
    <t>Mostly Implemented</t>
  </si>
  <si>
    <t>Q4A4</t>
  </si>
  <si>
    <t>Landmark Regions (Header, Main, Nav, Footer)</t>
  </si>
  <si>
    <t>Clearly Defined</t>
  </si>
  <si>
    <t>Q4A5</t>
  </si>
  <si>
    <t>Accessible Labels &amp; Descriptions</t>
  </si>
  <si>
    <t>Q4A6</t>
  </si>
  <si>
    <t>HTML Validation &amp; Accessibility Compliance</t>
  </si>
  <si>
    <t>Minor Issues</t>
  </si>
  <si>
    <t>Final Semantic HTML &amp; WAI-ARIA Score</t>
  </si>
  <si>
    <t>Level 3 : Forms &amp; Interactive Elements - Q5</t>
  </si>
  <si>
    <t>Q5A1</t>
  </si>
  <si>
    <t>Form Labels &amp; Input Association</t>
  </si>
  <si>
    <t>Q5A2</t>
  </si>
  <si>
    <t>Error Messages &amp; Validation</t>
  </si>
  <si>
    <t>Clear &amp; Accessible</t>
  </si>
  <si>
    <t>Q5A3</t>
  </si>
  <si>
    <t>Keyboard Accessibility</t>
  </si>
  <si>
    <t>Q5A4</t>
  </si>
  <si>
    <t>Interactive Controls (Buttons, Dropdowns, Checkboxes)</t>
  </si>
  <si>
    <t>Q5A5</t>
  </si>
  <si>
    <t>Focus Indicators &amp; Tab Order</t>
  </si>
  <si>
    <t>Final Forms &amp; Interactive Elements Score</t>
  </si>
  <si>
    <t>Level 3 : Alternative Text &amp; Media Accessibility - Q6</t>
  </si>
  <si>
    <t>Q6A1</t>
  </si>
  <si>
    <t>Q6A2</t>
  </si>
  <si>
    <t>Video Captions &amp; Transcripts</t>
  </si>
  <si>
    <t>Q6A3</t>
  </si>
  <si>
    <t>Audio Accessibility</t>
  </si>
  <si>
    <t>Supported</t>
  </si>
  <si>
    <t>Q6A4</t>
  </si>
  <si>
    <t>Decorative Images Handling</t>
  </si>
  <si>
    <t>Q6A5</t>
  </si>
  <si>
    <t>Accessible Media Controls</t>
  </si>
  <si>
    <t>Final Alternative Text &amp; Media Accessibility Score</t>
  </si>
  <si>
    <t>LEVEL 3 — Details Factor ( Best Practices )</t>
  </si>
  <si>
    <t>Level 3 : Browser Console Errors - R1</t>
  </si>
  <si>
    <t>R1A1</t>
  </si>
  <si>
    <t>JavaScript Errors</t>
  </si>
  <si>
    <t>R1A2</t>
  </si>
  <si>
    <t>CSS Errors &amp; Warnings</t>
  </si>
  <si>
    <t>Minor Warnings</t>
  </si>
  <si>
    <t>R1A3</t>
  </si>
  <si>
    <t>Network Request Errors</t>
  </si>
  <si>
    <t>No Failed Requests</t>
  </si>
  <si>
    <t>R1A4</t>
  </si>
  <si>
    <t>Deprecated API Usage</t>
  </si>
  <si>
    <t>Not Detected</t>
  </si>
  <si>
    <t>R1A5</t>
  </si>
  <si>
    <t>Console Warnings &amp; Exceptions</t>
  </si>
  <si>
    <t>Final Browser Console Errors Score</t>
  </si>
  <si>
    <t>Level 3 : HTTPS &amp; Secure Resources - R2</t>
  </si>
  <si>
    <t xml:space="preserve">HTTPS &amp; Secure Resources </t>
  </si>
  <si>
    <t>R2A1</t>
  </si>
  <si>
    <t>HTTPS Implementation</t>
  </si>
  <si>
    <t>Fully Enabled</t>
  </si>
  <si>
    <t>R2A2</t>
  </si>
  <si>
    <t>SSL/TLS Certificate Validity</t>
  </si>
  <si>
    <t>Valid &amp; Trusted</t>
  </si>
  <si>
    <t>R2A3</t>
  </si>
  <si>
    <t>Mixed Content Protection</t>
  </si>
  <si>
    <t>No Mixed Content</t>
  </si>
  <si>
    <t>R2A4</t>
  </si>
  <si>
    <t>Secure Resource Loading</t>
  </si>
  <si>
    <t>All Resources Secure</t>
  </si>
  <si>
    <t>R2A5</t>
  </si>
  <si>
    <t>HTTP Security Headers</t>
  </si>
  <si>
    <t>Mostly Configured</t>
  </si>
  <si>
    <t>Final HTTPS &amp; Secure Resources Score</t>
  </si>
  <si>
    <t>Level 3 : JavaScript &amp; API Best Practices - R3</t>
  </si>
  <si>
    <t>R3A1</t>
  </si>
  <si>
    <t>Modern JavaScript Syntax (ES6+)</t>
  </si>
  <si>
    <t>Fully Implemented</t>
  </si>
  <si>
    <t>R3A2</t>
  </si>
  <si>
    <t>API Request Handling</t>
  </si>
  <si>
    <t>R3A3</t>
  </si>
  <si>
    <t>Error Handling &amp; Exception Management</t>
  </si>
  <si>
    <t>Well Managed</t>
  </si>
  <si>
    <t>R3A4</t>
  </si>
  <si>
    <t>Asynchronous Operations</t>
  </si>
  <si>
    <t>Efficient</t>
  </si>
  <si>
    <t>R3A5</t>
  </si>
  <si>
    <t>Code Quality &amp; Maintainability</t>
  </si>
  <si>
    <t>Final JavaScript &amp; API Best Practices Score</t>
  </si>
  <si>
    <t>Level 3 : Modern Web Standards Compliance -R4</t>
  </si>
  <si>
    <t>R4A2</t>
  </si>
  <si>
    <t>HTML5 Standards Compliance</t>
  </si>
  <si>
    <t>R4A3</t>
  </si>
  <si>
    <t>CSS3 Standards Compliance</t>
  </si>
  <si>
    <t>R4A4</t>
  </si>
  <si>
    <t>Responsive Design Standards</t>
  </si>
  <si>
    <t>R4A5</t>
  </si>
  <si>
    <t>Cross-Browser Compatibility</t>
  </si>
  <si>
    <t>Mostly Compatible</t>
  </si>
  <si>
    <t>R4A6</t>
  </si>
  <si>
    <t>W3C Validation Compliance</t>
  </si>
  <si>
    <t>Minor Validation Issues</t>
  </si>
  <si>
    <t>Final Modern Web Standards Compliance Score</t>
  </si>
  <si>
    <t>Level 3 : Third-Party Libraries &amp; Dependencies - R5</t>
  </si>
  <si>
    <t>R5A2</t>
  </si>
  <si>
    <t>Library Version Management</t>
  </si>
  <si>
    <t>R5A3</t>
  </si>
  <si>
    <t>Dependency Security</t>
  </si>
  <si>
    <t>Secure</t>
  </si>
  <si>
    <t>R5A4</t>
  </si>
  <si>
    <t>Unused Libraries</t>
  </si>
  <si>
    <t>R5A5</t>
  </si>
  <si>
    <t>Third-Party Script Performance</t>
  </si>
  <si>
    <t>R5A6</t>
  </si>
  <si>
    <t>External Resource Reliability</t>
  </si>
  <si>
    <t>Highly Reliable</t>
  </si>
  <si>
    <t>Final Third-Party Libraries &amp; Dependencies Score</t>
  </si>
  <si>
    <t>LEVEL 3 — Details Factor ( SEO )</t>
  </si>
  <si>
    <t>Level 3 : Meta Tags Optimization - S1</t>
  </si>
  <si>
    <t>S1A1</t>
  </si>
  <si>
    <t>Page Title Optimization</t>
  </si>
  <si>
    <t>S1A2</t>
  </si>
  <si>
    <t>Meta Description Quality</t>
  </si>
  <si>
    <t>Informative &amp; Relevant</t>
  </si>
  <si>
    <t>S1A3</t>
  </si>
  <si>
    <t>Meta Robots Configuration</t>
  </si>
  <si>
    <t>Properly Configured</t>
  </si>
  <si>
    <t>S1A4</t>
  </si>
  <si>
    <t>Open Graph &amp; Social Meta Tags</t>
  </si>
  <si>
    <t>S1A5</t>
  </si>
  <si>
    <t>Duplicate Meta Tags</t>
  </si>
  <si>
    <t>Final Meta Tags Optimization Score</t>
  </si>
  <si>
    <t>Level 3 : Structured Data (Schema Markup)</t>
  </si>
  <si>
    <t>S2A1</t>
  </si>
  <si>
    <t>Schema Markup Implementation</t>
  </si>
  <si>
    <t>S2A2</t>
  </si>
  <si>
    <t>Organization Schema</t>
  </si>
  <si>
    <t>S2A3</t>
  </si>
  <si>
    <t>Product Schema</t>
  </si>
  <si>
    <t>S2A4</t>
  </si>
  <si>
    <t>Breadcrumb Schema</t>
  </si>
  <si>
    <t>S2A5</t>
  </si>
  <si>
    <t>Rich Results Eligibility</t>
  </si>
  <si>
    <t>Mostly Eligible</t>
  </si>
  <si>
    <t>Final Structured Data (Schema Markup) Score</t>
  </si>
  <si>
    <t>Level 3 : Mobile SEO &amp; Responsive Design -S3</t>
  </si>
  <si>
    <t>S3A1</t>
  </si>
  <si>
    <t>Mobile Responsiveness</t>
  </si>
  <si>
    <t>S3A2</t>
  </si>
  <si>
    <t>Mobile Viewport Configuration</t>
  </si>
  <si>
    <t>S3A3</t>
  </si>
  <si>
    <t>Touch Element Accessibility</t>
  </si>
  <si>
    <t>S3A4</t>
  </si>
  <si>
    <t>Mobile Content Consistency</t>
  </si>
  <si>
    <t>S3A5</t>
  </si>
  <si>
    <t>Responsive Layout Stability</t>
  </si>
  <si>
    <t>Final Mobile SEO &amp; Responsive Design Score</t>
  </si>
  <si>
    <t>Level 3 : Content Optimization - S4</t>
  </si>
  <si>
    <t>S4A1</t>
  </si>
  <si>
    <t>Content Relevance</t>
  </si>
  <si>
    <t>Highly Relevant</t>
  </si>
  <si>
    <t>S4A2</t>
  </si>
  <si>
    <t>Heading Structure</t>
  </si>
  <si>
    <t>Well Organized</t>
  </si>
  <si>
    <t>S4A3</t>
  </si>
  <si>
    <t>Keyword Placement</t>
  </si>
  <si>
    <t>Naturally Optimized</t>
  </si>
  <si>
    <t>S4A4</t>
  </si>
  <si>
    <t>Image SEO Optimization</t>
  </si>
  <si>
    <t>S4A5</t>
  </si>
  <si>
    <t>Content Readability</t>
  </si>
  <si>
    <t>Easy to Read</t>
  </si>
  <si>
    <t>Final Content Optimization Score</t>
  </si>
  <si>
    <t>Level 3 : Internal Linking &amp; URL Structure - S5</t>
  </si>
  <si>
    <t>S5A1</t>
  </si>
  <si>
    <t>Internal Link Structure</t>
  </si>
  <si>
    <t>Well Connected</t>
  </si>
  <si>
    <t>S5A2</t>
  </si>
  <si>
    <t>URL Readability</t>
  </si>
  <si>
    <t>SEO Friendly</t>
  </si>
  <si>
    <t>S5A3</t>
  </si>
  <si>
    <t>URL Consistency</t>
  </si>
  <si>
    <t>S5A4</t>
  </si>
  <si>
    <t>Broken Link Prevention</t>
  </si>
  <si>
    <t>No Broken Links</t>
  </si>
  <si>
    <t>S5A5</t>
  </si>
  <si>
    <t>Navigation Link Hierarchy</t>
  </si>
  <si>
    <t>Final Internal Linking &amp; URL Structure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</si>
</sst>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0.0"/>
      <color rgb="FF000000"/>
      <name val="Arial"/>
      <scheme val="minor"/>
    </font>
    <font>
      <b/>
      <sz val="20.0"/>
      <color rgb="FFF3F3F3"/>
      <name val="EB Garamond"/>
    </font>
    <font>
      <b/>
      <sz val="20.0"/>
      <color rgb="FF1F4E78"/>
      <name val="EB Garamond"/>
    </font>
    <font>
      <sz val="13.0"/>
      <color theme="1"/>
      <name val="EB Garamond"/>
    </font>
    <font>
      <i/>
      <sz val="10.0"/>
      <color rgb="FF666666"/>
      <name val="EB Garamond"/>
    </font>
    <font>
      <b/>
      <sz val="13.0"/>
      <color rgb="FFFFFFFF"/>
      <name val="EB Garamond"/>
    </font>
    <font>
      <b/>
      <sz val="13.0"/>
      <color theme="1"/>
      <name val="EB Garamond"/>
    </font>
    <font>
      <i/>
      <sz val="13.0"/>
      <color rgb="FF666666"/>
      <name val="EB Garamond"/>
    </font>
    <font>
      <b/>
      <sz val="13.0"/>
      <color rgb="FF3C78D8"/>
      <name val="EB Garamond"/>
    </font>
    <font>
      <b/>
      <u/>
      <sz val="13.0"/>
      <color theme="1"/>
      <name val="EB Garamond"/>
    </font>
    <font>
      <b/>
      <sz val="20.0"/>
      <color rgb="FF2E75B6"/>
      <name val="EB Garamond"/>
    </font>
    <font>
      <b/>
      <sz val="13.0"/>
      <color rgb="FFD9D9D9"/>
      <name val="EB Garamond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rgb="FF3C78D8"/>
      <name val="EB Garamond"/>
    </font>
    <font>
      <b/>
      <u/>
      <sz val="13.0"/>
      <color theme="1"/>
      <name val="EB Garamond"/>
    </font>
    <font>
      <b/>
      <u/>
      <sz val="13.0"/>
      <color theme="1"/>
      <name val="EB Garamond"/>
    </font>
    <font>
      <b/>
      <u/>
      <sz val="13.0"/>
      <color theme="1"/>
      <name val="EB Garamond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FE2F3"/>
        <bgColor rgb="FFCFE2F3"/>
      </patternFill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textRotation="0" vertical="bottom" wrapText="1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3" numFmtId="9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vertical="bottom"/>
    </xf>
    <xf borderId="1" fillId="3" fontId="6" numFmtId="0" xfId="0" applyAlignment="1" applyBorder="1" applyFont="1">
      <alignment vertical="bottom"/>
    </xf>
    <xf borderId="1" fillId="3" fontId="3" numFmtId="9" xfId="0" applyAlignment="1" applyBorder="1" applyFont="1" applyNumberFormat="1">
      <alignment horizontal="center" vertical="bottom"/>
    </xf>
    <xf borderId="1" fillId="3" fontId="6" numFmtId="164" xfId="0" applyAlignment="1" applyBorder="1" applyFont="1" applyNumberFormat="1">
      <alignment horizontal="center" vertical="bottom"/>
    </xf>
    <xf borderId="1" fillId="3" fontId="6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9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4" fontId="11" numFmtId="0" xfId="0" applyAlignment="1" applyFill="1" applyFont="1">
      <alignment horizontal="center" readingOrder="0" vertical="bottom"/>
    </xf>
    <xf borderId="1" fillId="4" fontId="11" numFmtId="0" xfId="0" applyAlignment="1" applyBorder="1" applyFont="1">
      <alignment horizontal="center" vertical="bottom"/>
    </xf>
    <xf borderId="0" fillId="4" fontId="11" numFmtId="0" xfId="0" applyAlignment="1" applyFont="1">
      <alignment horizontal="center" vertical="bottom"/>
    </xf>
    <xf borderId="0" fillId="0" fontId="3" numFmtId="9" xfId="0" applyAlignment="1" applyFont="1" applyNumberFormat="1">
      <alignment horizontal="center" vertical="bottom"/>
    </xf>
    <xf borderId="0" fillId="0" fontId="3" numFmtId="0" xfId="0" applyAlignment="1" applyFont="1">
      <alignment horizontal="right" vertical="bottom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3" fontId="6" numFmtId="9" xfId="0" applyAlignment="1" applyFont="1" applyNumberFormat="1">
      <alignment horizontal="right" vertical="bottom"/>
    </xf>
    <xf borderId="0" fillId="0" fontId="1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9" xfId="0" applyAlignment="1" applyFont="1" applyNumberFormat="1">
      <alignment horizontal="center"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9" xfId="0" applyAlignment="1" applyFont="1" applyNumberFormat="1">
      <alignment horizontal="right" vertical="bottom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3" numFmtId="9" xfId="0" applyAlignment="1" applyFont="1" applyNumberFormat="1">
      <alignment horizontal="center" readingOrder="0"/>
    </xf>
    <xf borderId="0" fillId="0" fontId="10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5" fontId="6" numFmtId="0" xfId="0" applyAlignment="1" applyFill="1" applyFont="1">
      <alignment horizontal="center" vertical="bottom"/>
    </xf>
    <xf borderId="0" fillId="5" fontId="6" numFmtId="0" xfId="0" applyAlignment="1" applyFont="1">
      <alignment readingOrder="0"/>
    </xf>
    <xf borderId="0" fillId="5" fontId="6" numFmtId="0" xfId="0" applyAlignment="1" applyFont="1">
      <alignment horizontal="center" readingOrder="0" vertical="bottom"/>
    </xf>
    <xf borderId="0" fillId="0" fontId="15" numFmtId="0" xfId="0" applyAlignment="1" applyFont="1">
      <alignment vertical="bottom"/>
    </xf>
    <xf borderId="0" fillId="3" fontId="16" numFmtId="0" xfId="0" applyAlignment="1" applyFont="1">
      <alignment vertical="bottom"/>
    </xf>
    <xf borderId="0" fillId="3" fontId="6" numFmtId="0" xfId="0" applyFont="1"/>
    <xf borderId="0" fillId="6" fontId="6" numFmtId="0" xfId="0" applyAlignment="1" applyFill="1" applyFont="1">
      <alignment readingOrder="0" vertical="bottom"/>
    </xf>
    <xf borderId="0" fillId="6" fontId="6" numFmtId="0" xfId="0" applyAlignment="1" applyFont="1">
      <alignment vertical="bottom"/>
    </xf>
    <xf borderId="0" fillId="6" fontId="6" numFmtId="9" xfId="0" applyAlignment="1" applyFont="1" applyNumberFormat="1">
      <alignment horizontal="right" readingOrder="0" vertical="bottom"/>
    </xf>
    <xf borderId="0" fillId="3" fontId="6" numFmtId="0" xfId="0" applyAlignment="1" applyFont="1">
      <alignment readingOrder="0"/>
    </xf>
    <xf borderId="0" fillId="0" fontId="6" numFmtId="9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/>
    </xf>
    <xf borderId="0" fillId="3" fontId="17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0" fontId="3" numFmtId="9" xfId="0" applyAlignment="1" applyFont="1" applyNumberFormat="1">
      <alignment vertical="bottom"/>
    </xf>
    <xf borderId="0" fillId="6" fontId="6" numFmtId="0" xfId="0" applyAlignment="1" applyFont="1">
      <alignment horizontal="right" vertical="bottom"/>
    </xf>
    <xf borderId="0" fillId="6" fontId="6" numFmtId="9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3" fontId="6" numFmtId="9" xfId="0" applyAlignment="1" applyFont="1" applyNumberFormat="1">
      <alignment horizontal="right" readingOrder="0" vertical="bottom"/>
    </xf>
    <xf borderId="0" fillId="3" fontId="12" numFmtId="0" xfId="0" applyAlignment="1" applyFont="1">
      <alignment readingOrder="0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9.75"/>
    <col customWidth="1" min="4" max="4" width="24.88"/>
    <col customWidth="1" min="7" max="7" width="21.38"/>
    <col customWidth="1" min="11" max="11" width="17.88"/>
    <col customWidth="1" min="12" max="12" width="16.75"/>
    <col customWidth="1" min="15" max="15" width="20.5"/>
  </cols>
  <sheetData>
    <row r="1" ht="43.5" customHeight="1">
      <c r="A1" s="1" t="s">
        <v>0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" t="s">
        <v>1</v>
      </c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/>
      <c r="B4" s="5"/>
      <c r="C4" s="5"/>
      <c r="D4" s="5"/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7" t="s">
        <v>8</v>
      </c>
      <c r="B6" s="8" t="s">
        <v>9</v>
      </c>
      <c r="C6" s="9">
        <v>0.25</v>
      </c>
      <c r="D6" s="10">
        <f>'Level 2'!E12*'Level 2'!F12</f>
        <v>4.30125</v>
      </c>
      <c r="E6" s="11" t="str">
        <f>IF(D6&gt;=9,"Excellent",IF(D6&gt;=7,"Good",IF(D6&gt;=5,"Needs Improvement","Poor")))</f>
        <v>Poor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7" t="s">
        <v>10</v>
      </c>
      <c r="B7" s="8" t="s">
        <v>11</v>
      </c>
      <c r="C7" s="9">
        <v>0.25</v>
      </c>
      <c r="D7" s="10">
        <f>'Level 2'!E24*'Level 2'!F24</f>
        <v>3.755208333</v>
      </c>
      <c r="E7" s="11" t="str">
        <f t="shared" ref="E7:E9" si="1">IF(D7&gt;=90,"Excellent",IF(D7&gt;=70,"Good",IF(D7&gt;=50,"Needs Improvement","Poor")))</f>
        <v>Poor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7" t="s">
        <v>12</v>
      </c>
      <c r="B8" s="8" t="s">
        <v>13</v>
      </c>
      <c r="C8" s="9">
        <v>0.25</v>
      </c>
      <c r="D8" s="10">
        <f>'Level 2'!E35*'Level 2'!F35</f>
        <v>4.515</v>
      </c>
      <c r="E8" s="11" t="str">
        <f t="shared" si="1"/>
        <v>Poor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7" t="s">
        <v>14</v>
      </c>
      <c r="B9" s="8" t="s">
        <v>15</v>
      </c>
      <c r="C9" s="9">
        <v>0.25</v>
      </c>
      <c r="D9" s="10">
        <f>'Level 2'!E46*'Level 2'!F46</f>
        <v>4.49</v>
      </c>
      <c r="E9" s="11" t="str">
        <f t="shared" si="1"/>
        <v>Poor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7"/>
      <c r="B10" s="8"/>
      <c r="C10" s="9"/>
      <c r="D10" s="10"/>
      <c r="E10" s="1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2" t="s">
        <v>16</v>
      </c>
      <c r="B11" s="13" t="s">
        <v>17</v>
      </c>
      <c r="C11" s="14">
        <v>1.0</v>
      </c>
      <c r="D11" s="15">
        <f>SUMPRODUCT(C6:C9,D6:D9)</f>
        <v>4.265364583</v>
      </c>
      <c r="E11" s="16" t="str">
        <f>IF(D11&gt;=90,"Excellent",IF(D11&gt;=70,"Good",IF(D11&gt;=50,"Needs Improvement","Poor")))</f>
        <v>Poor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G16" s="17"/>
      <c r="H16" s="3"/>
      <c r="I16" s="18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G17" s="3"/>
      <c r="H17" s="3"/>
      <c r="I17" s="19"/>
      <c r="J17" s="11"/>
      <c r="K17" s="20"/>
      <c r="L17" s="20"/>
      <c r="M17" s="20"/>
      <c r="N17" s="20"/>
      <c r="O17" s="20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G18" s="3"/>
      <c r="H18" s="3"/>
      <c r="I18" s="21"/>
      <c r="J18" s="22"/>
      <c r="K18" s="5"/>
      <c r="L18" s="5"/>
      <c r="M18" s="21"/>
      <c r="N18" s="23"/>
      <c r="O18" s="5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G19" s="3"/>
      <c r="H19" s="3"/>
      <c r="I19" s="21"/>
      <c r="J19" s="22"/>
      <c r="K19" s="5"/>
      <c r="L19" s="5"/>
      <c r="M19" s="21"/>
      <c r="N19" s="23"/>
      <c r="O19" s="5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G20" s="3"/>
      <c r="H20" s="3"/>
      <c r="I20" s="21"/>
      <c r="J20" s="22"/>
      <c r="K20" s="5"/>
      <c r="L20" s="5"/>
      <c r="M20" s="21"/>
      <c r="N20" s="23"/>
      <c r="O20" s="5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G21" s="3"/>
      <c r="H21" s="3"/>
      <c r="I21" s="21"/>
      <c r="J21" s="22"/>
      <c r="K21" s="5"/>
      <c r="L21" s="5"/>
      <c r="M21" s="21"/>
      <c r="N21" s="23"/>
      <c r="O21" s="5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G22" s="3"/>
      <c r="H22" s="3"/>
      <c r="I22" s="21"/>
      <c r="J22" s="22"/>
      <c r="K22" s="5"/>
      <c r="L22" s="5"/>
      <c r="M22" s="21"/>
      <c r="N22" s="23"/>
      <c r="O22" s="5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G23" s="3"/>
      <c r="H23" s="3"/>
      <c r="I23" s="24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G24" s="3"/>
      <c r="H24" s="3"/>
      <c r="I24" s="3"/>
      <c r="J24" s="3"/>
      <c r="K24" s="5"/>
      <c r="L24" s="5"/>
      <c r="M24" s="5"/>
      <c r="N24" s="23"/>
      <c r="O24" s="5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H66" s="3"/>
      <c r="I66" s="22" t="s">
        <v>18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H68" s="3"/>
      <c r="I68" s="3">
        <f>'L3 Performance'!E18*'L3 Performance'!F18</f>
        <v>12.75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H69" s="3"/>
      <c r="I69" s="3">
        <f>'L3 Performance'!E19*'L3 Performance'!F19</f>
        <v>11.25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H70" s="3"/>
      <c r="I70" s="3">
        <f>'L3 Performance'!E20*'L3 Performance'!F20</f>
        <v>13.5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H71" s="3"/>
      <c r="I71" s="3">
        <f>'L3 Performance'!E21*'L3 Performance'!F21</f>
        <v>9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H72" s="3"/>
      <c r="I72" s="3">
        <f>'L3 Performance'!E22*'L3 Performance'!F22</f>
        <v>14.25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H73" s="3"/>
      <c r="I73" s="3">
        <f>'L3 Performance'!E23*'L3 Performance'!F23</f>
        <v>7.5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H74" s="3"/>
      <c r="I74" s="3">
        <f>'L3 Performance'!E24*'L3 Performance'!F24</f>
        <v>8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H75" s="3"/>
      <c r="I75" s="3">
        <f>'L3 Performance'!E25*'L3 Performance'!F25</f>
        <v>9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H77" s="3"/>
      <c r="I77" s="3">
        <f>SUM(I68:I75)</f>
        <v>85.25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H81" s="3"/>
      <c r="I81" s="22" t="s">
        <v>19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H83" s="3"/>
      <c r="I83" s="3">
        <f>'L3 Performance'!E33*'L3 Performance'!F33</f>
        <v>20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H84" s="3"/>
      <c r="I84" s="3">
        <f>'L3 Performance'!E34*'L3 Performance'!F34</f>
        <v>14.25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H85" s="3"/>
      <c r="I85" s="3">
        <f>'L3 Performance'!E35*'L3 Performance'!F35</f>
        <v>13.5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H86" s="3"/>
      <c r="I86" s="3">
        <f>'L3 Performance'!E36*'L3 Performance'!F36</f>
        <v>14.25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H87" s="3"/>
      <c r="I87" s="3">
        <f>'L3 Performance'!E37*'L3 Performance'!F37</f>
        <v>9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H88" s="3"/>
      <c r="I88" s="3">
        <f>'L3 Performance'!E38*'L3 Performance'!F38</f>
        <v>9.5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H89" s="3"/>
      <c r="I89" s="3">
        <f>'L3 Performance'!E39*'L3 Performance'!F39</f>
        <v>9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H90" s="3"/>
      <c r="I90" s="3">
        <f>'L3 Performance'!E40*'L3 Performance'!F40</f>
        <v>5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H92" s="3"/>
      <c r="I92" s="3">
        <f>sum(I83:I90)</f>
        <v>94.5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5">
    <mergeCell ref="A1:E1"/>
    <mergeCell ref="A2:E2"/>
    <mergeCell ref="A3:F3"/>
    <mergeCell ref="I16:O16"/>
    <mergeCell ref="I23:O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5.75"/>
    <col customWidth="1" min="3" max="3" width="32.88"/>
    <col customWidth="1" min="4" max="4" width="20.38"/>
    <col customWidth="1" min="5" max="5" width="16.88"/>
    <col customWidth="1" min="6" max="6" width="17.38"/>
  </cols>
  <sheetData>
    <row r="1">
      <c r="A1" s="25" t="s">
        <v>20</v>
      </c>
    </row>
    <row r="2">
      <c r="A2" s="4" t="s">
        <v>21</v>
      </c>
    </row>
    <row r="3">
      <c r="A3" s="4"/>
      <c r="B3" s="4"/>
      <c r="C3" s="4"/>
      <c r="D3" s="4"/>
      <c r="E3" s="4"/>
      <c r="F3" s="4"/>
    </row>
    <row r="4">
      <c r="A4" s="18" t="s">
        <v>22</v>
      </c>
    </row>
    <row r="5">
      <c r="A5" s="26" t="s">
        <v>3</v>
      </c>
      <c r="B5" s="27" t="s">
        <v>23</v>
      </c>
      <c r="C5" s="28" t="s">
        <v>24</v>
      </c>
      <c r="D5" s="28" t="s">
        <v>25</v>
      </c>
      <c r="E5" s="28" t="s">
        <v>6</v>
      </c>
      <c r="F5" s="28" t="s">
        <v>5</v>
      </c>
    </row>
    <row r="6">
      <c r="A6" s="21" t="s">
        <v>8</v>
      </c>
      <c r="B6" s="21" t="s">
        <v>26</v>
      </c>
      <c r="C6" s="5" t="s">
        <v>27</v>
      </c>
      <c r="D6" s="5" t="s">
        <v>28</v>
      </c>
      <c r="E6" s="19">
        <f>'L3 Performance'!E12*'L3 Performance'!F12</f>
        <v>22.5</v>
      </c>
      <c r="F6" s="29">
        <v>0.25</v>
      </c>
    </row>
    <row r="7">
      <c r="A7" s="21" t="s">
        <v>8</v>
      </c>
      <c r="B7" s="21" t="s">
        <v>29</v>
      </c>
      <c r="C7" s="5" t="s">
        <v>30</v>
      </c>
      <c r="D7" s="5" t="s">
        <v>31</v>
      </c>
      <c r="E7" s="19">
        <f>'L3 Performance'!E27*'L3 Performance'!F27</f>
        <v>21.25</v>
      </c>
      <c r="F7" s="29">
        <v>0.25</v>
      </c>
    </row>
    <row r="8">
      <c r="A8" s="21" t="s">
        <v>8</v>
      </c>
      <c r="B8" s="21" t="s">
        <v>32</v>
      </c>
      <c r="C8" s="5" t="s">
        <v>33</v>
      </c>
      <c r="D8" s="30">
        <v>0.02</v>
      </c>
      <c r="E8" s="19">
        <f>'L3 Performance'!E42*'L3 Performance'!F42</f>
        <v>18.875</v>
      </c>
      <c r="F8" s="29">
        <v>0.2</v>
      </c>
    </row>
    <row r="9">
      <c r="A9" s="21" t="s">
        <v>8</v>
      </c>
      <c r="B9" s="21" t="s">
        <v>34</v>
      </c>
      <c r="C9" s="5" t="s">
        <v>35</v>
      </c>
      <c r="D9" s="5" t="s">
        <v>36</v>
      </c>
      <c r="E9" s="19">
        <f>'L3 Performance'!E54*'L3 Performance'!F54</f>
        <v>11.85</v>
      </c>
      <c r="F9" s="29">
        <v>0.15</v>
      </c>
    </row>
    <row r="10">
      <c r="A10" s="21" t="s">
        <v>8</v>
      </c>
      <c r="B10" s="21" t="s">
        <v>37</v>
      </c>
      <c r="C10" s="5" t="s">
        <v>38</v>
      </c>
      <c r="D10" s="5" t="s">
        <v>39</v>
      </c>
      <c r="E10" s="19">
        <f>'L3 Performance'!E66*'L3 Performance'!F66</f>
        <v>11.55</v>
      </c>
      <c r="F10" s="29">
        <v>0.15</v>
      </c>
    </row>
    <row r="11">
      <c r="A11" s="24"/>
    </row>
    <row r="12">
      <c r="A12" s="31" t="s">
        <v>40</v>
      </c>
      <c r="E12" s="32">
        <f>SUM(E6:E10)/5</f>
        <v>17.205</v>
      </c>
      <c r="F12" s="33">
        <v>0.25</v>
      </c>
    </row>
    <row r="15">
      <c r="A15" s="18" t="s">
        <v>41</v>
      </c>
    </row>
    <row r="16">
      <c r="A16" s="26" t="s">
        <v>3</v>
      </c>
      <c r="B16" s="27" t="s">
        <v>23</v>
      </c>
      <c r="C16" s="28" t="s">
        <v>24</v>
      </c>
      <c r="D16" s="28" t="s">
        <v>25</v>
      </c>
      <c r="E16" s="28" t="s">
        <v>6</v>
      </c>
      <c r="F16" s="28" t="s">
        <v>5</v>
      </c>
      <c r="G16" s="34"/>
    </row>
    <row r="17">
      <c r="A17" s="22" t="s">
        <v>10</v>
      </c>
      <c r="B17" s="22" t="s">
        <v>42</v>
      </c>
      <c r="C17" s="22" t="s">
        <v>43</v>
      </c>
      <c r="D17" s="22" t="s">
        <v>44</v>
      </c>
      <c r="E17" s="35">
        <f>'L3 Accessibility'!E13*'L3 Accessibility'!F13</f>
        <v>18.66666667</v>
      </c>
      <c r="F17" s="36">
        <v>0.2</v>
      </c>
    </row>
    <row r="18">
      <c r="A18" s="22" t="s">
        <v>10</v>
      </c>
      <c r="B18" s="22" t="s">
        <v>45</v>
      </c>
      <c r="C18" s="22" t="s">
        <v>46</v>
      </c>
      <c r="D18" s="22" t="s">
        <v>47</v>
      </c>
      <c r="E18" s="35">
        <f>'L3 Accessibility'!E26*'L3 Accessibility'!F26</f>
        <v>17.83333333</v>
      </c>
      <c r="F18" s="36">
        <v>0.2</v>
      </c>
    </row>
    <row r="19">
      <c r="A19" s="22" t="s">
        <v>10</v>
      </c>
      <c r="B19" s="22" t="s">
        <v>48</v>
      </c>
      <c r="C19" s="22" t="s">
        <v>49</v>
      </c>
      <c r="D19" s="22" t="s">
        <v>50</v>
      </c>
      <c r="E19" s="35">
        <f>'L3 Accessibility'!E39*'L3 Accessibility'!F39</f>
        <v>18</v>
      </c>
      <c r="F19" s="36">
        <v>0.2</v>
      </c>
    </row>
    <row r="20">
      <c r="A20" s="22" t="s">
        <v>10</v>
      </c>
      <c r="B20" s="22" t="s">
        <v>51</v>
      </c>
      <c r="C20" s="22" t="s">
        <v>52</v>
      </c>
      <c r="D20" s="22" t="s">
        <v>53</v>
      </c>
      <c r="E20" s="35">
        <f>'L3 Accessibility'!E52*'L3 Accessibility'!F52</f>
        <v>13.125</v>
      </c>
      <c r="F20" s="36">
        <v>0.15</v>
      </c>
    </row>
    <row r="21">
      <c r="A21" s="22" t="s">
        <v>10</v>
      </c>
      <c r="B21" s="22" t="s">
        <v>54</v>
      </c>
      <c r="C21" s="22" t="s">
        <v>55</v>
      </c>
      <c r="D21" s="22" t="s">
        <v>56</v>
      </c>
      <c r="E21" s="35">
        <f>'L3 Accessibility'!E64*'L3 Accessibility'!F64</f>
        <v>13.5</v>
      </c>
      <c r="F21" s="36">
        <v>0.15</v>
      </c>
    </row>
    <row r="22">
      <c r="A22" s="22" t="s">
        <v>10</v>
      </c>
      <c r="B22" s="22" t="s">
        <v>57</v>
      </c>
      <c r="C22" s="22" t="s">
        <v>58</v>
      </c>
      <c r="D22" s="22" t="s">
        <v>59</v>
      </c>
      <c r="E22" s="35">
        <f>'L3 Accessibility'!E76*'L3 Accessibility'!F76</f>
        <v>9</v>
      </c>
      <c r="F22" s="36">
        <v>0.1</v>
      </c>
    </row>
    <row r="24">
      <c r="A24" s="31" t="s">
        <v>40</v>
      </c>
      <c r="E24" s="32">
        <f>SUM(E17:E22)/6</f>
        <v>15.02083333</v>
      </c>
      <c r="F24" s="33">
        <v>0.25</v>
      </c>
    </row>
    <row r="27">
      <c r="A27" s="18" t="s">
        <v>60</v>
      </c>
    </row>
    <row r="28">
      <c r="A28" s="26" t="s">
        <v>3</v>
      </c>
      <c r="B28" s="27" t="s">
        <v>23</v>
      </c>
      <c r="C28" s="28" t="s">
        <v>24</v>
      </c>
      <c r="D28" s="28" t="s">
        <v>25</v>
      </c>
      <c r="E28" s="28" t="s">
        <v>6</v>
      </c>
      <c r="F28" s="28" t="s">
        <v>5</v>
      </c>
    </row>
    <row r="29">
      <c r="A29" s="22" t="s">
        <v>12</v>
      </c>
      <c r="B29" s="22" t="s">
        <v>61</v>
      </c>
      <c r="C29" s="22" t="s">
        <v>62</v>
      </c>
      <c r="D29" s="22" t="s">
        <v>63</v>
      </c>
      <c r="E29" s="35">
        <f>'L3 Best Practices'!E12*'L3 Best Practices'!F12</f>
        <v>18.2</v>
      </c>
      <c r="F29" s="36">
        <v>0.2</v>
      </c>
    </row>
    <row r="30">
      <c r="A30" s="22" t="s">
        <v>12</v>
      </c>
      <c r="B30" s="22" t="s">
        <v>64</v>
      </c>
      <c r="C30" s="22" t="s">
        <v>65</v>
      </c>
      <c r="D30" s="22" t="s">
        <v>66</v>
      </c>
      <c r="E30" s="35">
        <f>'L3 Best Practices'!E24*'L3 Best Practices'!F24</f>
        <v>22.75</v>
      </c>
      <c r="F30" s="36">
        <v>0.25</v>
      </c>
    </row>
    <row r="31">
      <c r="A31" s="22" t="s">
        <v>12</v>
      </c>
      <c r="B31" s="22" t="s">
        <v>67</v>
      </c>
      <c r="C31" s="22" t="s">
        <v>68</v>
      </c>
      <c r="D31" s="22" t="s">
        <v>69</v>
      </c>
      <c r="E31" s="35">
        <f>'L3 Best Practices'!E36*'L3 Best Practices'!F36</f>
        <v>22.5</v>
      </c>
      <c r="F31" s="36">
        <v>0.25</v>
      </c>
    </row>
    <row r="32">
      <c r="A32" s="22" t="s">
        <v>12</v>
      </c>
      <c r="B32" s="22" t="s">
        <v>70</v>
      </c>
      <c r="C32" s="22" t="s">
        <v>71</v>
      </c>
      <c r="D32" s="22" t="s">
        <v>53</v>
      </c>
      <c r="E32" s="35">
        <f>'L3 Best Practices'!E48*'L3 Best Practices'!F48</f>
        <v>13.35</v>
      </c>
      <c r="F32" s="36">
        <v>0.15</v>
      </c>
    </row>
    <row r="33">
      <c r="A33" s="22" t="s">
        <v>12</v>
      </c>
      <c r="B33" s="22" t="s">
        <v>72</v>
      </c>
      <c r="C33" s="22" t="s">
        <v>73</v>
      </c>
      <c r="D33" s="22" t="s">
        <v>74</v>
      </c>
      <c r="E33" s="35">
        <f>'L3 Best Practices'!E60*'L3 Best Practices'!F60</f>
        <v>13.5</v>
      </c>
      <c r="F33" s="36">
        <v>0.15</v>
      </c>
    </row>
    <row r="34">
      <c r="A34" s="37"/>
      <c r="C34" s="37"/>
      <c r="D34" s="37"/>
      <c r="E34" s="38"/>
      <c r="F34" s="39"/>
    </row>
    <row r="35">
      <c r="A35" s="31" t="s">
        <v>40</v>
      </c>
      <c r="E35" s="32">
        <f>SUM(E29:E33)/5</f>
        <v>18.06</v>
      </c>
      <c r="F35" s="33">
        <v>0.25</v>
      </c>
    </row>
    <row r="38">
      <c r="A38" s="18" t="s">
        <v>75</v>
      </c>
    </row>
    <row r="39">
      <c r="A39" s="26" t="s">
        <v>3</v>
      </c>
      <c r="B39" s="27" t="s">
        <v>23</v>
      </c>
      <c r="C39" s="28" t="s">
        <v>24</v>
      </c>
      <c r="D39" s="28" t="s">
        <v>25</v>
      </c>
      <c r="E39" s="28" t="s">
        <v>6</v>
      </c>
      <c r="F39" s="28" t="s">
        <v>5</v>
      </c>
    </row>
    <row r="40">
      <c r="A40" s="22" t="s">
        <v>14</v>
      </c>
      <c r="B40" s="22" t="s">
        <v>76</v>
      </c>
      <c r="C40" s="22" t="s">
        <v>77</v>
      </c>
      <c r="D40" s="22" t="s">
        <v>78</v>
      </c>
      <c r="E40" s="35">
        <f>'L3 SEO'!E12*'L3 SEO'!F12</f>
        <v>22.5</v>
      </c>
      <c r="F40" s="36">
        <v>0.25</v>
      </c>
    </row>
    <row r="41">
      <c r="A41" s="22" t="s">
        <v>14</v>
      </c>
      <c r="B41" s="22" t="s">
        <v>79</v>
      </c>
      <c r="C41" s="22" t="s">
        <v>80</v>
      </c>
      <c r="D41" s="22" t="s">
        <v>81</v>
      </c>
      <c r="E41" s="35">
        <f>'L3 SEO'!E24*'L3 SEO'!F24</f>
        <v>17.4</v>
      </c>
      <c r="F41" s="36">
        <v>0.2</v>
      </c>
    </row>
    <row r="42">
      <c r="A42" s="22" t="s">
        <v>14</v>
      </c>
      <c r="B42" s="22" t="s">
        <v>82</v>
      </c>
      <c r="C42" s="22" t="s">
        <v>83</v>
      </c>
      <c r="D42" s="22" t="s">
        <v>84</v>
      </c>
      <c r="E42" s="35">
        <f>'L3 SEO'!E36*'L3 SEO'!F36</f>
        <v>18.4</v>
      </c>
      <c r="F42" s="36">
        <v>0.2</v>
      </c>
    </row>
    <row r="43">
      <c r="A43" s="22" t="s">
        <v>14</v>
      </c>
      <c r="B43" s="22" t="s">
        <v>85</v>
      </c>
      <c r="C43" s="22" t="s">
        <v>86</v>
      </c>
      <c r="D43" s="22" t="s">
        <v>78</v>
      </c>
      <c r="E43" s="35">
        <f>'L3 SEO'!E48*'L3 SEO'!F48</f>
        <v>18</v>
      </c>
      <c r="F43" s="36">
        <v>0.2</v>
      </c>
    </row>
    <row r="44">
      <c r="A44" s="21" t="s">
        <v>14</v>
      </c>
      <c r="B44" s="22" t="s">
        <v>87</v>
      </c>
      <c r="C44" s="22" t="s">
        <v>88</v>
      </c>
      <c r="D44" s="22" t="s">
        <v>89</v>
      </c>
      <c r="E44" s="35">
        <f>'L3 SEO'!E60*'L3 SEO'!F60</f>
        <v>13.5</v>
      </c>
      <c r="F44" s="36">
        <v>0.15</v>
      </c>
    </row>
    <row r="45">
      <c r="A45" s="37"/>
      <c r="B45" s="37"/>
      <c r="C45" s="40"/>
      <c r="D45" s="40"/>
      <c r="E45" s="41"/>
      <c r="F45" s="42"/>
    </row>
    <row r="46">
      <c r="A46" s="31" t="s">
        <v>40</v>
      </c>
      <c r="E46" s="32">
        <f>SUM(E40:E44)/5</f>
        <v>17.96</v>
      </c>
      <c r="F46" s="33">
        <v>0.25</v>
      </c>
    </row>
  </sheetData>
  <mergeCells count="11">
    <mergeCell ref="A24:D24"/>
    <mergeCell ref="A35:D35"/>
    <mergeCell ref="A38:F38"/>
    <mergeCell ref="A46:D46"/>
    <mergeCell ref="A1:F1"/>
    <mergeCell ref="A2:F2"/>
    <mergeCell ref="A4:F4"/>
    <mergeCell ref="A11:F11"/>
    <mergeCell ref="A12:D12"/>
    <mergeCell ref="A15:F15"/>
    <mergeCell ref="A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63"/>
    <col customWidth="1" min="4" max="4" width="32.13"/>
    <col customWidth="1" min="5" max="5" width="15.25"/>
    <col customWidth="1" min="6" max="6" width="14.88"/>
    <col customWidth="1" min="7" max="7" width="14.38"/>
  </cols>
  <sheetData>
    <row r="1">
      <c r="A1" s="43" t="s">
        <v>90</v>
      </c>
    </row>
    <row r="2">
      <c r="A2" s="3"/>
      <c r="B2" s="3"/>
      <c r="C2" s="3"/>
      <c r="D2" s="3"/>
      <c r="E2" s="3"/>
      <c r="F2" s="3"/>
      <c r="G2" s="3"/>
    </row>
    <row r="3">
      <c r="A3" s="44" t="s">
        <v>91</v>
      </c>
    </row>
    <row r="4">
      <c r="A4" s="45" t="s">
        <v>92</v>
      </c>
    </row>
    <row r="5">
      <c r="A5" s="46" t="s">
        <v>93</v>
      </c>
      <c r="B5" s="47" t="s">
        <v>94</v>
      </c>
      <c r="C5" s="45" t="s">
        <v>95</v>
      </c>
      <c r="D5" s="45" t="s">
        <v>25</v>
      </c>
      <c r="E5" s="45" t="s">
        <v>6</v>
      </c>
      <c r="F5" s="45" t="s">
        <v>5</v>
      </c>
      <c r="G5" s="47" t="s">
        <v>7</v>
      </c>
    </row>
    <row r="6">
      <c r="A6" s="22" t="str">
        <f>'Level 2'!$B$6</f>
        <v>P1</v>
      </c>
      <c r="B6" s="22" t="s">
        <v>96</v>
      </c>
      <c r="C6" s="21" t="s">
        <v>97</v>
      </c>
      <c r="D6" s="5" t="s">
        <v>98</v>
      </c>
      <c r="E6" s="21">
        <v>90.0</v>
      </c>
      <c r="F6" s="23">
        <v>0.2</v>
      </c>
      <c r="G6" s="3" t="str">
        <f t="shared" ref="G6:G7" si="1">IF(E6&gt;=90,"Excellent",
IF(E6&gt;=80," Good",
IF(E6&gt;=60,"⚠️ Needs Improvement",
"❌ Poor")))</f>
        <v>Excellent</v>
      </c>
    </row>
    <row r="7">
      <c r="A7" s="22" t="str">
        <f>'Level 2'!$B$6</f>
        <v>P1</v>
      </c>
      <c r="B7" s="22" t="s">
        <v>99</v>
      </c>
      <c r="C7" s="5" t="s">
        <v>100</v>
      </c>
      <c r="D7" s="5" t="s">
        <v>101</v>
      </c>
      <c r="E7" s="21">
        <v>95.0</v>
      </c>
      <c r="F7" s="23">
        <v>0.3</v>
      </c>
      <c r="G7" s="3" t="str">
        <f t="shared" si="1"/>
        <v>Excellent</v>
      </c>
    </row>
    <row r="8">
      <c r="A8" s="22" t="str">
        <f>'Level 2'!$B$6</f>
        <v>P1</v>
      </c>
      <c r="B8" s="22" t="s">
        <v>102</v>
      </c>
      <c r="C8" s="5" t="s">
        <v>103</v>
      </c>
      <c r="D8" s="5" t="s">
        <v>104</v>
      </c>
      <c r="E8" s="21">
        <v>80.0</v>
      </c>
      <c r="F8" s="23">
        <v>0.25</v>
      </c>
      <c r="G8" s="3" t="str">
        <f>IF(E8&gt;=90,"Excellent",
IF(E8&gt;=80," Good",
IF(E8&gt;=60,"Needs Improvement",
"Poor")))</f>
        <v> Good</v>
      </c>
    </row>
    <row r="9">
      <c r="A9" s="22" t="str">
        <f>'Level 2'!$B$6</f>
        <v>P1</v>
      </c>
      <c r="B9" s="22" t="s">
        <v>105</v>
      </c>
      <c r="C9" s="5" t="s">
        <v>106</v>
      </c>
      <c r="D9" s="5" t="s">
        <v>107</v>
      </c>
      <c r="E9" s="21">
        <v>90.0</v>
      </c>
      <c r="F9" s="23">
        <v>0.15</v>
      </c>
      <c r="G9" s="3" t="str">
        <f t="shared" ref="G9:G10" si="2">IF(E9&gt;=90,"Excellent",
IF(E9&gt;=80," Good",
IF(E9&gt;=60,"⚠️ Needs Improvement",
"❌ Poor")))</f>
        <v>Excellent</v>
      </c>
    </row>
    <row r="10">
      <c r="A10" s="22" t="str">
        <f>'Level 2'!$B$6</f>
        <v>P1</v>
      </c>
      <c r="B10" s="22" t="s">
        <v>108</v>
      </c>
      <c r="C10" s="5" t="s">
        <v>109</v>
      </c>
      <c r="D10" s="5" t="s">
        <v>110</v>
      </c>
      <c r="E10" s="21">
        <v>95.0</v>
      </c>
      <c r="F10" s="23">
        <v>0.1</v>
      </c>
      <c r="G10" s="3" t="str">
        <f t="shared" si="2"/>
        <v>Excellent</v>
      </c>
    </row>
    <row r="11">
      <c r="C11" s="48"/>
      <c r="D11" s="48"/>
      <c r="E11" s="48"/>
      <c r="F11" s="48"/>
      <c r="G11" s="3"/>
    </row>
    <row r="12">
      <c r="A12" s="49" t="s">
        <v>111</v>
      </c>
      <c r="C12" s="32" t="s">
        <v>27</v>
      </c>
      <c r="E12" s="32">
        <f>sum(E6:E10)/5</f>
        <v>90</v>
      </c>
      <c r="F12" s="33">
        <v>0.25</v>
      </c>
      <c r="G12" s="50" t="str">
        <f>IF(E8&gt;=90,"Excellent",
IF(E8&gt;=80," Good",
IF(E8&gt;=60,"Needs Improvement",
"Poor")))</f>
        <v> Good</v>
      </c>
    </row>
    <row r="13">
      <c r="A13" s="5"/>
      <c r="B13" s="5"/>
      <c r="C13" s="5"/>
      <c r="D13" s="5"/>
      <c r="E13" s="5"/>
      <c r="F13" s="5"/>
      <c r="G13" s="5"/>
    </row>
    <row r="14">
      <c r="A14" s="3"/>
      <c r="B14" s="3"/>
      <c r="C14" s="3"/>
      <c r="D14" s="3"/>
      <c r="E14" s="3"/>
      <c r="F14" s="3"/>
      <c r="G14" s="3"/>
    </row>
    <row r="15">
      <c r="A15" s="44" t="s">
        <v>112</v>
      </c>
    </row>
    <row r="16">
      <c r="A16" s="47" t="s">
        <v>30</v>
      </c>
    </row>
    <row r="17">
      <c r="A17" s="46" t="s">
        <v>93</v>
      </c>
      <c r="B17" s="47" t="s">
        <v>94</v>
      </c>
      <c r="C17" s="45" t="s">
        <v>95</v>
      </c>
      <c r="D17" s="45" t="s">
        <v>25</v>
      </c>
      <c r="E17" s="45" t="s">
        <v>6</v>
      </c>
      <c r="F17" s="45" t="s">
        <v>5</v>
      </c>
      <c r="G17" s="47" t="s">
        <v>7</v>
      </c>
    </row>
    <row r="18">
      <c r="A18" s="22" t="str">
        <f>'Level 2'!$B$7</f>
        <v>P2</v>
      </c>
      <c r="B18" s="22" t="s">
        <v>113</v>
      </c>
      <c r="C18" s="22" t="s">
        <v>114</v>
      </c>
      <c r="D18" s="22" t="s">
        <v>115</v>
      </c>
      <c r="E18" s="35">
        <v>85.0</v>
      </c>
      <c r="F18" s="36">
        <v>0.15</v>
      </c>
      <c r="G18" s="22" t="str">
        <f t="shared" ref="G18:G25" si="3">IF(E18&gt;=90,"Excellent",
IF(E18&gt;=80,"Good",
IF(E18&gt;=60,"Needs Improvement",
"❌ Poor")))</f>
        <v>Good</v>
      </c>
    </row>
    <row r="19">
      <c r="A19" s="22" t="str">
        <f>'Level 2'!$B$7</f>
        <v>P2</v>
      </c>
      <c r="B19" s="22" t="s">
        <v>116</v>
      </c>
      <c r="C19" s="22" t="s">
        <v>117</v>
      </c>
      <c r="D19" s="22" t="s">
        <v>118</v>
      </c>
      <c r="E19" s="35">
        <v>75.0</v>
      </c>
      <c r="F19" s="36">
        <v>0.15</v>
      </c>
      <c r="G19" s="22" t="str">
        <f t="shared" si="3"/>
        <v>Needs Improvement</v>
      </c>
    </row>
    <row r="20">
      <c r="A20" s="22" t="str">
        <f>'Level 2'!$B$7</f>
        <v>P2</v>
      </c>
      <c r="B20" s="22" t="s">
        <v>119</v>
      </c>
      <c r="C20" s="22" t="s">
        <v>120</v>
      </c>
      <c r="D20" s="22" t="s">
        <v>121</v>
      </c>
      <c r="E20" s="35">
        <v>90.0</v>
      </c>
      <c r="F20" s="36">
        <v>0.15</v>
      </c>
      <c r="G20" s="22" t="str">
        <f t="shared" si="3"/>
        <v>Excellent</v>
      </c>
    </row>
    <row r="21">
      <c r="A21" s="22" t="str">
        <f>'Level 2'!$B$7</f>
        <v>P2</v>
      </c>
      <c r="B21" s="22" t="s">
        <v>122</v>
      </c>
      <c r="C21" s="22" t="s">
        <v>123</v>
      </c>
      <c r="D21" s="22" t="s">
        <v>124</v>
      </c>
      <c r="E21" s="35">
        <v>90.0</v>
      </c>
      <c r="F21" s="36">
        <v>0.1</v>
      </c>
      <c r="G21" s="22" t="str">
        <f t="shared" si="3"/>
        <v>Excellent</v>
      </c>
    </row>
    <row r="22">
      <c r="A22" s="22" t="str">
        <f>'Level 2'!$B$7</f>
        <v>P2</v>
      </c>
      <c r="B22" s="22" t="s">
        <v>125</v>
      </c>
      <c r="C22" s="22" t="s">
        <v>126</v>
      </c>
      <c r="D22" s="22" t="s">
        <v>127</v>
      </c>
      <c r="E22" s="35">
        <v>95.0</v>
      </c>
      <c r="F22" s="36">
        <v>0.15</v>
      </c>
      <c r="G22" s="22" t="str">
        <f t="shared" si="3"/>
        <v>Excellent</v>
      </c>
    </row>
    <row r="23">
      <c r="A23" s="22" t="str">
        <f>'Level 2'!$B$7</f>
        <v>P2</v>
      </c>
      <c r="B23" s="22" t="s">
        <v>128</v>
      </c>
      <c r="C23" s="22" t="s">
        <v>129</v>
      </c>
      <c r="D23" s="22" t="s">
        <v>130</v>
      </c>
      <c r="E23" s="35">
        <v>75.0</v>
      </c>
      <c r="F23" s="36">
        <v>0.1</v>
      </c>
      <c r="G23" s="22" t="str">
        <f t="shared" si="3"/>
        <v>Needs Improvement</v>
      </c>
    </row>
    <row r="24">
      <c r="A24" s="22" t="str">
        <f>'Level 2'!$B$7</f>
        <v>P2</v>
      </c>
      <c r="B24" s="22" t="s">
        <v>131</v>
      </c>
      <c r="C24" s="22" t="s">
        <v>132</v>
      </c>
      <c r="D24" s="22" t="s">
        <v>133</v>
      </c>
      <c r="E24" s="35">
        <v>80.0</v>
      </c>
      <c r="F24" s="36">
        <v>0.1</v>
      </c>
      <c r="G24" s="22" t="str">
        <f t="shared" si="3"/>
        <v>Good</v>
      </c>
    </row>
    <row r="25">
      <c r="A25" s="22" t="str">
        <f>'Level 2'!$B$7</f>
        <v>P2</v>
      </c>
      <c r="B25" s="22" t="s">
        <v>134</v>
      </c>
      <c r="C25" s="22" t="s">
        <v>135</v>
      </c>
      <c r="D25" s="22" t="s">
        <v>136</v>
      </c>
      <c r="E25" s="35">
        <v>90.0</v>
      </c>
      <c r="F25" s="36">
        <v>0.1</v>
      </c>
      <c r="G25" s="22" t="str">
        <f t="shared" si="3"/>
        <v>Excellent</v>
      </c>
    </row>
    <row r="26">
      <c r="A26" s="24"/>
      <c r="C26" s="24"/>
      <c r="D26" s="24"/>
      <c r="E26" s="24"/>
      <c r="F26" s="24"/>
      <c r="G26" s="22"/>
    </row>
    <row r="27">
      <c r="A27" s="51" t="s">
        <v>30</v>
      </c>
      <c r="E27" s="52">
        <f>SUM(E18:E25)/8</f>
        <v>85</v>
      </c>
      <c r="F27" s="53">
        <v>0.25</v>
      </c>
      <c r="G27" s="54" t="str">
        <f>IF(E27&gt;=90,"Excellent",
IF(E27&gt;=80,"Good",
IF(E27&gt;=60,"Needs Improvement",
"❌ Poor")))</f>
        <v>Good</v>
      </c>
    </row>
    <row r="28">
      <c r="A28" s="37"/>
      <c r="B28" s="37"/>
      <c r="C28" s="37"/>
      <c r="D28" s="37"/>
      <c r="E28" s="38"/>
      <c r="F28" s="55"/>
      <c r="G28" s="56"/>
    </row>
    <row r="29">
      <c r="A29" s="37"/>
      <c r="B29" s="37"/>
      <c r="C29" s="37"/>
      <c r="D29" s="37"/>
      <c r="E29" s="38"/>
      <c r="F29" s="55"/>
      <c r="G29" s="56"/>
    </row>
    <row r="30">
      <c r="A30" s="44" t="s">
        <v>137</v>
      </c>
    </row>
    <row r="31">
      <c r="A31" s="47" t="s">
        <v>33</v>
      </c>
    </row>
    <row r="32">
      <c r="A32" s="46" t="s">
        <v>93</v>
      </c>
      <c r="B32" s="47" t="s">
        <v>94</v>
      </c>
      <c r="C32" s="45" t="s">
        <v>95</v>
      </c>
      <c r="D32" s="45" t="s">
        <v>25</v>
      </c>
      <c r="E32" s="45" t="s">
        <v>6</v>
      </c>
      <c r="F32" s="45" t="s">
        <v>5</v>
      </c>
      <c r="G32" s="47" t="s">
        <v>7</v>
      </c>
    </row>
    <row r="33">
      <c r="A33" s="3" t="str">
        <f>'Level 2'!$B$8</f>
        <v>P3</v>
      </c>
      <c r="B33" s="22" t="s">
        <v>138</v>
      </c>
      <c r="C33" s="22" t="s">
        <v>139</v>
      </c>
      <c r="D33" s="22" t="s">
        <v>107</v>
      </c>
      <c r="E33" s="35">
        <v>100.0</v>
      </c>
      <c r="F33" s="36">
        <v>0.2</v>
      </c>
      <c r="G33" s="22" t="str">
        <f t="shared" ref="G33:G40" si="4">IF(E33&gt;=90,"Excellent",
IF(E33&gt;=80,"Good",
IF(E33&gt;=60,"Needs Improvement",
"Poor")))</f>
        <v>Excellent</v>
      </c>
    </row>
    <row r="34">
      <c r="A34" s="3" t="str">
        <f>'Level 2'!$B$8</f>
        <v>P3</v>
      </c>
      <c r="B34" s="22" t="s">
        <v>140</v>
      </c>
      <c r="C34" s="22" t="s">
        <v>141</v>
      </c>
      <c r="D34" s="22" t="s">
        <v>142</v>
      </c>
      <c r="E34" s="35">
        <v>95.0</v>
      </c>
      <c r="F34" s="36">
        <v>0.15</v>
      </c>
      <c r="G34" s="22" t="str">
        <f t="shared" si="4"/>
        <v>Excellent</v>
      </c>
    </row>
    <row r="35">
      <c r="A35" s="3" t="str">
        <f>'Level 2'!$B$8</f>
        <v>P3</v>
      </c>
      <c r="B35" s="22" t="s">
        <v>143</v>
      </c>
      <c r="C35" s="22" t="s">
        <v>144</v>
      </c>
      <c r="D35" s="22" t="s">
        <v>145</v>
      </c>
      <c r="E35" s="35">
        <v>90.0</v>
      </c>
      <c r="F35" s="36">
        <v>0.15</v>
      </c>
      <c r="G35" s="22" t="str">
        <f t="shared" si="4"/>
        <v>Excellent</v>
      </c>
    </row>
    <row r="36">
      <c r="A36" s="3" t="str">
        <f>'Level 2'!$B$8</f>
        <v>P3</v>
      </c>
      <c r="B36" s="22" t="s">
        <v>146</v>
      </c>
      <c r="C36" s="22" t="s">
        <v>147</v>
      </c>
      <c r="D36" s="22" t="s">
        <v>148</v>
      </c>
      <c r="E36" s="35">
        <v>95.0</v>
      </c>
      <c r="F36" s="36">
        <v>0.15</v>
      </c>
      <c r="G36" s="22" t="str">
        <f t="shared" si="4"/>
        <v>Excellent</v>
      </c>
    </row>
    <row r="37">
      <c r="A37" s="3" t="str">
        <f>'Level 2'!$B$8</f>
        <v>P3</v>
      </c>
      <c r="B37" s="22" t="s">
        <v>149</v>
      </c>
      <c r="C37" s="22" t="s">
        <v>150</v>
      </c>
      <c r="D37" s="22" t="s">
        <v>151</v>
      </c>
      <c r="E37" s="35">
        <v>90.0</v>
      </c>
      <c r="F37" s="36">
        <v>0.1</v>
      </c>
      <c r="G37" s="22" t="str">
        <f t="shared" si="4"/>
        <v>Excellent</v>
      </c>
    </row>
    <row r="38">
      <c r="A38" s="3" t="str">
        <f>'Level 2'!$B$8</f>
        <v>P3</v>
      </c>
      <c r="B38" s="22" t="s">
        <v>152</v>
      </c>
      <c r="C38" s="22" t="s">
        <v>153</v>
      </c>
      <c r="D38" s="22" t="s">
        <v>154</v>
      </c>
      <c r="E38" s="35">
        <v>95.0</v>
      </c>
      <c r="F38" s="36">
        <v>0.1</v>
      </c>
      <c r="G38" s="22" t="str">
        <f t="shared" si="4"/>
        <v>Excellent</v>
      </c>
    </row>
    <row r="39">
      <c r="A39" s="3" t="str">
        <f>'Level 2'!$B$8</f>
        <v>P3</v>
      </c>
      <c r="B39" s="22" t="s">
        <v>155</v>
      </c>
      <c r="C39" s="22" t="s">
        <v>156</v>
      </c>
      <c r="D39" s="22" t="s">
        <v>157</v>
      </c>
      <c r="E39" s="35">
        <v>90.0</v>
      </c>
      <c r="F39" s="36">
        <v>0.1</v>
      </c>
      <c r="G39" s="22" t="str">
        <f t="shared" si="4"/>
        <v>Excellent</v>
      </c>
    </row>
    <row r="40">
      <c r="A40" s="3" t="str">
        <f>'Level 2'!$B$8</f>
        <v>P3</v>
      </c>
      <c r="B40" s="22" t="s">
        <v>158</v>
      </c>
      <c r="C40" s="22" t="s">
        <v>159</v>
      </c>
      <c r="D40" s="22" t="s">
        <v>160</v>
      </c>
      <c r="E40" s="35">
        <v>100.0</v>
      </c>
      <c r="F40" s="36">
        <v>0.05</v>
      </c>
      <c r="G40" s="22" t="str">
        <f t="shared" si="4"/>
        <v>Excellent</v>
      </c>
    </row>
    <row r="41">
      <c r="C41" s="24"/>
      <c r="D41" s="24"/>
      <c r="E41" s="24"/>
      <c r="F41" s="24"/>
      <c r="G41" s="22"/>
    </row>
    <row r="42">
      <c r="A42" s="57" t="s">
        <v>33</v>
      </c>
      <c r="E42" s="52">
        <f>SUM(E33:E40)/8</f>
        <v>94.375</v>
      </c>
      <c r="F42" s="53">
        <v>0.2</v>
      </c>
      <c r="G42" s="54" t="str">
        <f>IF(E42&gt;=90,"Excellent",
IF(E42&gt;=80,"Good",
IF(E42&gt;=60,"Needs Improvement",
"Poor")))</f>
        <v>Excellent</v>
      </c>
    </row>
    <row r="45">
      <c r="A45" s="58" t="s">
        <v>161</v>
      </c>
      <c r="G45" s="59"/>
    </row>
    <row r="46">
      <c r="A46" s="45" t="s">
        <v>35</v>
      </c>
    </row>
    <row r="47">
      <c r="A47" s="60" t="s">
        <v>93</v>
      </c>
      <c r="B47" s="45" t="s">
        <v>94</v>
      </c>
      <c r="C47" s="45" t="s">
        <v>95</v>
      </c>
      <c r="D47" s="45" t="s">
        <v>25</v>
      </c>
      <c r="E47" s="45" t="s">
        <v>6</v>
      </c>
      <c r="F47" s="45" t="s">
        <v>5</v>
      </c>
      <c r="G47" s="45" t="s">
        <v>7</v>
      </c>
    </row>
    <row r="48">
      <c r="A48" s="5" t="str">
        <f>'Level 2'!$B$9</f>
        <v>P4</v>
      </c>
      <c r="B48" s="21" t="s">
        <v>162</v>
      </c>
      <c r="C48" s="5" t="s">
        <v>163</v>
      </c>
      <c r="D48" s="5" t="s">
        <v>164</v>
      </c>
      <c r="E48" s="30">
        <v>65.0</v>
      </c>
      <c r="F48" s="23">
        <v>0.3</v>
      </c>
      <c r="G48" s="5" t="str">
        <f t="shared" ref="G48:G52" si="5">IF(E48&gt;=90,"Excellent",
IF(E48&gt;=80," Good",
IF(E48&gt;=60,"Needs Improvement",
"Poor")))</f>
        <v>Needs Improvement</v>
      </c>
    </row>
    <row r="49">
      <c r="A49" s="5" t="str">
        <f>'Level 2'!$B$9</f>
        <v>P4</v>
      </c>
      <c r="B49" s="21" t="s">
        <v>165</v>
      </c>
      <c r="C49" s="5" t="s">
        <v>166</v>
      </c>
      <c r="D49" s="5" t="s">
        <v>118</v>
      </c>
      <c r="E49" s="30">
        <v>75.0</v>
      </c>
      <c r="F49" s="23">
        <v>0.2</v>
      </c>
      <c r="G49" s="5" t="str">
        <f t="shared" si="5"/>
        <v>Needs Improvement</v>
      </c>
    </row>
    <row r="50">
      <c r="A50" s="5" t="str">
        <f>'Level 2'!$B$9</f>
        <v>P4</v>
      </c>
      <c r="B50" s="21" t="s">
        <v>167</v>
      </c>
      <c r="C50" s="5" t="s">
        <v>168</v>
      </c>
      <c r="D50" s="61" t="s">
        <v>145</v>
      </c>
      <c r="E50" s="30">
        <v>85.0</v>
      </c>
      <c r="F50" s="23">
        <v>0.2</v>
      </c>
      <c r="G50" s="5" t="str">
        <f t="shared" si="5"/>
        <v> Good</v>
      </c>
    </row>
    <row r="51">
      <c r="A51" s="5" t="str">
        <f>'Level 2'!$B$9</f>
        <v>P4</v>
      </c>
      <c r="B51" s="21" t="s">
        <v>169</v>
      </c>
      <c r="C51" s="5" t="s">
        <v>170</v>
      </c>
      <c r="D51" s="5" t="s">
        <v>171</v>
      </c>
      <c r="E51" s="30">
        <v>90.0</v>
      </c>
      <c r="F51" s="23">
        <v>0.15</v>
      </c>
      <c r="G51" s="5" t="str">
        <f t="shared" si="5"/>
        <v>Excellent</v>
      </c>
    </row>
    <row r="52">
      <c r="A52" s="5" t="str">
        <f>'Level 2'!$B$9</f>
        <v>P4</v>
      </c>
      <c r="B52" s="21" t="s">
        <v>172</v>
      </c>
      <c r="C52" s="5" t="s">
        <v>173</v>
      </c>
      <c r="D52" s="5" t="s">
        <v>118</v>
      </c>
      <c r="E52" s="30">
        <v>80.0</v>
      </c>
      <c r="F52" s="23">
        <v>0.15</v>
      </c>
      <c r="G52" s="5" t="str">
        <f t="shared" si="5"/>
        <v> Good</v>
      </c>
    </row>
    <row r="53">
      <c r="A53" s="59"/>
      <c r="B53" s="59"/>
      <c r="C53" s="59"/>
      <c r="D53" s="59"/>
      <c r="E53" s="59"/>
      <c r="F53" s="59"/>
      <c r="G53" s="59"/>
    </row>
    <row r="54">
      <c r="A54" s="49" t="s">
        <v>174</v>
      </c>
      <c r="E54" s="62">
        <f>SUM(E48:E52)/5</f>
        <v>79</v>
      </c>
      <c r="F54" s="63">
        <v>0.15</v>
      </c>
      <c r="G54" s="64" t="str">
        <f>IF(E54&gt;=90,"Excellent",
IF(E54&gt;=80," Good",
IF(E54&gt;=60,"Needs Improvement",
"Poor")))</f>
        <v>Needs Improvement</v>
      </c>
    </row>
    <row r="55">
      <c r="A55" s="3"/>
      <c r="B55" s="3"/>
      <c r="C55" s="3"/>
      <c r="D55" s="3"/>
      <c r="E55" s="3"/>
      <c r="F55" s="3"/>
      <c r="G55" s="3"/>
    </row>
    <row r="57">
      <c r="A57" s="58" t="s">
        <v>175</v>
      </c>
      <c r="G57" s="59"/>
    </row>
    <row r="58">
      <c r="A58" s="45" t="s">
        <v>38</v>
      </c>
    </row>
    <row r="59">
      <c r="A59" s="60" t="s">
        <v>93</v>
      </c>
      <c r="B59" s="45" t="s">
        <v>94</v>
      </c>
      <c r="C59" s="45" t="s">
        <v>95</v>
      </c>
      <c r="D59" s="45" t="s">
        <v>25</v>
      </c>
      <c r="E59" s="45" t="s">
        <v>6</v>
      </c>
      <c r="F59" s="45" t="s">
        <v>5</v>
      </c>
      <c r="G59" s="45" t="s">
        <v>7</v>
      </c>
    </row>
    <row r="60">
      <c r="A60" s="5" t="str">
        <f>'Level 2'!$B$10</f>
        <v>P5</v>
      </c>
      <c r="B60" s="21" t="s">
        <v>176</v>
      </c>
      <c r="C60" s="5" t="s">
        <v>177</v>
      </c>
      <c r="D60" s="5" t="s">
        <v>178</v>
      </c>
      <c r="E60" s="30">
        <v>90.0</v>
      </c>
      <c r="F60" s="23">
        <v>0.25</v>
      </c>
      <c r="G60" s="5" t="str">
        <f t="shared" ref="G60:G64" si="6">IF(E60&gt;=90,"Excellent",
IF(E60&gt;=80,"Good",
IF(E60&gt;=60,"Needs Improvement",
"❌ Poor")))</f>
        <v>Excellent</v>
      </c>
    </row>
    <row r="61">
      <c r="A61" s="5" t="str">
        <f>'Level 2'!$B$10</f>
        <v>P5</v>
      </c>
      <c r="B61" s="21" t="s">
        <v>179</v>
      </c>
      <c r="C61" s="5" t="s">
        <v>180</v>
      </c>
      <c r="D61" s="5" t="s">
        <v>181</v>
      </c>
      <c r="E61" s="30">
        <v>60.0</v>
      </c>
      <c r="F61" s="23">
        <v>0.25</v>
      </c>
      <c r="G61" s="5" t="str">
        <f t="shared" si="6"/>
        <v>Needs Improvement</v>
      </c>
    </row>
    <row r="62">
      <c r="A62" s="5" t="str">
        <f>'Level 2'!$B$10</f>
        <v>P5</v>
      </c>
      <c r="B62" s="21" t="s">
        <v>182</v>
      </c>
      <c r="C62" s="5" t="s">
        <v>183</v>
      </c>
      <c r="D62" s="5" t="s">
        <v>184</v>
      </c>
      <c r="E62" s="30">
        <v>90.0</v>
      </c>
      <c r="F62" s="23">
        <v>0.2</v>
      </c>
      <c r="G62" s="5" t="str">
        <f t="shared" si="6"/>
        <v>Excellent</v>
      </c>
    </row>
    <row r="63">
      <c r="A63" s="5" t="str">
        <f>'Level 2'!$B$10</f>
        <v>P5</v>
      </c>
      <c r="B63" s="21" t="s">
        <v>185</v>
      </c>
      <c r="C63" s="5" t="s">
        <v>186</v>
      </c>
      <c r="D63" s="5" t="s">
        <v>187</v>
      </c>
      <c r="E63" s="30">
        <v>85.0</v>
      </c>
      <c r="F63" s="23">
        <v>0.15</v>
      </c>
      <c r="G63" s="5" t="str">
        <f t="shared" si="6"/>
        <v>Good</v>
      </c>
    </row>
    <row r="64">
      <c r="A64" s="5" t="str">
        <f>'Level 2'!$B$10</f>
        <v>P5</v>
      </c>
      <c r="B64" s="21" t="s">
        <v>188</v>
      </c>
      <c r="C64" s="5" t="s">
        <v>189</v>
      </c>
      <c r="D64" s="5" t="s">
        <v>190</v>
      </c>
      <c r="E64" s="30">
        <v>60.0</v>
      </c>
      <c r="F64" s="23">
        <v>0.15</v>
      </c>
      <c r="G64" s="5" t="str">
        <f t="shared" si="6"/>
        <v>Needs Improvement</v>
      </c>
    </row>
    <row r="65">
      <c r="A65" s="59"/>
      <c r="B65" s="59"/>
      <c r="C65" s="59"/>
      <c r="D65" s="59"/>
      <c r="E65" s="59"/>
      <c r="F65" s="59"/>
      <c r="G65" s="59"/>
    </row>
    <row r="66">
      <c r="A66" s="49" t="s">
        <v>38</v>
      </c>
      <c r="E66" s="62">
        <f>SUM(E60:E64)/5</f>
        <v>77</v>
      </c>
      <c r="F66" s="63">
        <v>0.15</v>
      </c>
      <c r="G66" s="52" t="str">
        <f>IF(E66&gt;=90,"Excellent",
IF(E66&gt;=80,"Good",
IF(E66&gt;=60,"Needs Improvement",
"❌ Poor")))</f>
        <v>Needs Improvement</v>
      </c>
    </row>
  </sheetData>
  <mergeCells count="18">
    <mergeCell ref="A1:G1"/>
    <mergeCell ref="A3:G3"/>
    <mergeCell ref="A4:G4"/>
    <mergeCell ref="A12:B12"/>
    <mergeCell ref="C12:D12"/>
    <mergeCell ref="A15:G15"/>
    <mergeCell ref="A16:G16"/>
    <mergeCell ref="A54:D54"/>
    <mergeCell ref="A57:F57"/>
    <mergeCell ref="A58:G58"/>
    <mergeCell ref="A66:D66"/>
    <mergeCell ref="A26:B26"/>
    <mergeCell ref="A27:D27"/>
    <mergeCell ref="A30:G30"/>
    <mergeCell ref="A31:G31"/>
    <mergeCell ref="A42:D42"/>
    <mergeCell ref="A45:F45"/>
    <mergeCell ref="A46:G4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5.88"/>
    <col customWidth="1" min="3" max="3" width="40.0"/>
    <col customWidth="1" min="4" max="4" width="19.13"/>
    <col customWidth="1" min="7" max="7" width="14.63"/>
  </cols>
  <sheetData>
    <row r="1">
      <c r="A1" s="43" t="s">
        <v>191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4" t="s">
        <v>192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7" t="s">
        <v>193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6" t="s">
        <v>93</v>
      </c>
      <c r="B5" s="47" t="s">
        <v>94</v>
      </c>
      <c r="C5" s="45" t="s">
        <v>95</v>
      </c>
      <c r="D5" s="45" t="s">
        <v>25</v>
      </c>
      <c r="E5" s="45" t="s">
        <v>6</v>
      </c>
      <c r="F5" s="45" t="s">
        <v>5</v>
      </c>
      <c r="G5" s="47" t="s">
        <v>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tr">
        <f>'Level 2'!$B$17</f>
        <v>Q1</v>
      </c>
      <c r="B6" s="22" t="s">
        <v>194</v>
      </c>
      <c r="C6" s="22" t="s">
        <v>195</v>
      </c>
      <c r="D6" s="22" t="s">
        <v>196</v>
      </c>
      <c r="E6" s="35">
        <v>95.0</v>
      </c>
      <c r="F6" s="36">
        <v>0.2</v>
      </c>
      <c r="G6" s="22" t="str">
        <f t="shared" ref="G6:G11" si="1">IF(E6&gt;=90,"Excellent",
IF(E6&gt;=80," Good",
IF(E6&gt;=60," Needs Improvement",
" Poor")))</f>
        <v>Excellent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tr">
        <f>'Level 2'!$B$17</f>
        <v>Q1</v>
      </c>
      <c r="B7" s="22" t="s">
        <v>197</v>
      </c>
      <c r="C7" s="22" t="s">
        <v>198</v>
      </c>
      <c r="D7" s="22" t="s">
        <v>199</v>
      </c>
      <c r="E7" s="35">
        <v>90.0</v>
      </c>
      <c r="F7" s="36">
        <v>0.2</v>
      </c>
      <c r="G7" s="22" t="str">
        <f t="shared" si="1"/>
        <v>Excellent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tr">
        <f>'Level 2'!$B$17</f>
        <v>Q1</v>
      </c>
      <c r="B8" s="22" t="s">
        <v>200</v>
      </c>
      <c r="C8" s="22" t="s">
        <v>201</v>
      </c>
      <c r="D8" s="22" t="s">
        <v>202</v>
      </c>
      <c r="E8" s="35">
        <v>95.0</v>
      </c>
      <c r="F8" s="36">
        <v>0.2</v>
      </c>
      <c r="G8" s="22" t="str">
        <f t="shared" si="1"/>
        <v>Excellent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tr">
        <f>'Level 2'!$B$17</f>
        <v>Q1</v>
      </c>
      <c r="B9" s="22" t="s">
        <v>203</v>
      </c>
      <c r="C9" s="22" t="s">
        <v>204</v>
      </c>
      <c r="D9" s="22" t="s">
        <v>205</v>
      </c>
      <c r="E9" s="35">
        <v>90.0</v>
      </c>
      <c r="F9" s="36">
        <v>0.15</v>
      </c>
      <c r="G9" s="22" t="str">
        <f t="shared" si="1"/>
        <v>Excellent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tr">
        <f>'Level 2'!$B$17</f>
        <v>Q1</v>
      </c>
      <c r="B10" s="22" t="s">
        <v>206</v>
      </c>
      <c r="C10" s="22" t="s">
        <v>207</v>
      </c>
      <c r="D10" s="22" t="s">
        <v>208</v>
      </c>
      <c r="E10" s="35">
        <v>100.0</v>
      </c>
      <c r="F10" s="36">
        <v>0.15</v>
      </c>
      <c r="G10" s="22" t="str">
        <f t="shared" si="1"/>
        <v>Excellent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tr">
        <f>'Level 2'!$B$17</f>
        <v>Q1</v>
      </c>
      <c r="B11" s="22" t="s">
        <v>209</v>
      </c>
      <c r="C11" s="22" t="s">
        <v>210</v>
      </c>
      <c r="D11" s="22" t="s">
        <v>44</v>
      </c>
      <c r="E11" s="35">
        <v>90.0</v>
      </c>
      <c r="F11" s="36">
        <v>0.1</v>
      </c>
      <c r="G11" s="22" t="str">
        <f t="shared" si="1"/>
        <v>Excellent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2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7" t="s">
        <v>211</v>
      </c>
      <c r="E13" s="32">
        <f>sum(E6:E11)/6</f>
        <v>93.33333333</v>
      </c>
      <c r="F13" s="65">
        <v>0.2</v>
      </c>
      <c r="G13" s="54" t="str">
        <f>IF(E13&gt;=90,"Excellent",
IF(E13&gt;=80," Good",
IF(E13&gt;=60," Needs Improvement",
" Poor")))</f>
        <v>Excellent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4" t="s">
        <v>212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7" t="s">
        <v>46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6" t="s">
        <v>93</v>
      </c>
      <c r="B18" s="47" t="s">
        <v>94</v>
      </c>
      <c r="C18" s="45" t="s">
        <v>95</v>
      </c>
      <c r="D18" s="45" t="s">
        <v>25</v>
      </c>
      <c r="E18" s="45" t="s">
        <v>6</v>
      </c>
      <c r="F18" s="45" t="s">
        <v>5</v>
      </c>
      <c r="G18" s="47" t="s">
        <v>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tr">
        <f>'Level 2'!$B$18</f>
        <v>Q2</v>
      </c>
      <c r="B19" s="3"/>
      <c r="C19" s="40" t="s">
        <v>213</v>
      </c>
      <c r="D19" s="40" t="s">
        <v>214</v>
      </c>
      <c r="E19" s="41">
        <v>95.0</v>
      </c>
      <c r="F19" s="42">
        <v>0.2</v>
      </c>
      <c r="G19" s="40" t="str">
        <f>IF(E6&gt;=90,"Excellent",
IF(E6&gt;=80," Good",
IF(E6&gt;=60," Needs Improvement",
" Poor")))</f>
        <v>Excellent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tr">
        <f>'Level 2'!$B$18</f>
        <v>Q2</v>
      </c>
      <c r="B20" s="3"/>
      <c r="C20" s="40" t="s">
        <v>215</v>
      </c>
      <c r="D20" s="40" t="s">
        <v>216</v>
      </c>
      <c r="E20" s="41">
        <v>90.0</v>
      </c>
      <c r="F20" s="42">
        <v>0.2</v>
      </c>
      <c r="G20" s="40" t="str">
        <f t="shared" ref="G20:G24" si="2">IF(E20&gt;=90,"Excellent",
IF(E20&gt;=80," Good",
IF(E20&gt;=60,"⚠️ Needs Improvement",
"❌ Poor")))</f>
        <v>Excellent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tr">
        <f>'Level 2'!$B$18</f>
        <v>Q2</v>
      </c>
      <c r="B21" s="3"/>
      <c r="C21" s="40" t="s">
        <v>217</v>
      </c>
      <c r="D21" s="40" t="s">
        <v>59</v>
      </c>
      <c r="E21" s="41">
        <v>95.0</v>
      </c>
      <c r="F21" s="42">
        <v>0.2</v>
      </c>
      <c r="G21" s="40" t="str">
        <f t="shared" si="2"/>
        <v>Excellent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tr">
        <f>'Level 2'!$B$18</f>
        <v>Q2</v>
      </c>
      <c r="B22" s="3"/>
      <c r="C22" s="40" t="s">
        <v>218</v>
      </c>
      <c r="D22" s="40" t="s">
        <v>219</v>
      </c>
      <c r="E22" s="41">
        <v>85.0</v>
      </c>
      <c r="F22" s="42">
        <v>0.15</v>
      </c>
      <c r="G22" s="40" t="str">
        <f t="shared" si="2"/>
        <v> Good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tr">
        <f>'Level 2'!$B$18</f>
        <v>Q2</v>
      </c>
      <c r="B23" s="3"/>
      <c r="C23" s="40" t="s">
        <v>220</v>
      </c>
      <c r="D23" s="40" t="s">
        <v>221</v>
      </c>
      <c r="E23" s="41">
        <v>80.0</v>
      </c>
      <c r="F23" s="42">
        <v>0.15</v>
      </c>
      <c r="G23" s="40" t="str">
        <f t="shared" si="2"/>
        <v> Good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tr">
        <f>'Level 2'!$B$18</f>
        <v>Q2</v>
      </c>
      <c r="B24" s="3"/>
      <c r="C24" s="40" t="s">
        <v>222</v>
      </c>
      <c r="D24" s="40" t="s">
        <v>223</v>
      </c>
      <c r="E24" s="41">
        <v>90.0</v>
      </c>
      <c r="F24" s="42">
        <v>0.1</v>
      </c>
      <c r="G24" s="40" t="str">
        <f t="shared" si="2"/>
        <v>Excellent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40"/>
      <c r="D25" s="40"/>
      <c r="E25" s="41"/>
      <c r="F25" s="4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7" t="s">
        <v>224</v>
      </c>
      <c r="E26" s="32">
        <f>sum(E19:E24)/6</f>
        <v>89.16666667</v>
      </c>
      <c r="F26" s="65">
        <v>0.2</v>
      </c>
      <c r="G26" s="66" t="str">
        <f>IF(E26&gt;=90,"Excellent",
IF(E26&gt;=80," Good",
IF(E26&gt;=60,"⚠️ Needs Improvement",
"❌ Poor")))</f>
        <v> Good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 t="s">
        <v>225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7" t="s">
        <v>49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6" t="s">
        <v>93</v>
      </c>
      <c r="B31" s="47" t="s">
        <v>94</v>
      </c>
      <c r="C31" s="45" t="s">
        <v>95</v>
      </c>
      <c r="D31" s="45" t="s">
        <v>25</v>
      </c>
      <c r="E31" s="45" t="s">
        <v>6</v>
      </c>
      <c r="F31" s="45" t="s">
        <v>5</v>
      </c>
      <c r="G31" s="47" t="s">
        <v>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tr">
        <f>'Level 2'!$B$19</f>
        <v>Q3</v>
      </c>
      <c r="B32" s="22" t="s">
        <v>226</v>
      </c>
      <c r="C32" s="40" t="s">
        <v>227</v>
      </c>
      <c r="D32" s="40" t="s">
        <v>228</v>
      </c>
      <c r="E32" s="41">
        <v>95.0</v>
      </c>
      <c r="F32" s="42">
        <v>0.2</v>
      </c>
      <c r="G32" s="40" t="str">
        <f t="shared" ref="G32:G37" si="3">IF(E32&gt;=90,"Excellent",
IF(E32&gt;=80," Good",
IF(E32&gt;=60," Needs Improvement",
" Poor")))</f>
        <v>Excellent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tr">
        <f>'Level 2'!$B$19</f>
        <v>Q3</v>
      </c>
      <c r="B33" s="22" t="s">
        <v>229</v>
      </c>
      <c r="C33" s="40" t="s">
        <v>230</v>
      </c>
      <c r="D33" s="40" t="s">
        <v>231</v>
      </c>
      <c r="E33" s="41">
        <v>95.0</v>
      </c>
      <c r="F33" s="42">
        <v>0.2</v>
      </c>
      <c r="G33" s="40" t="str">
        <f t="shared" si="3"/>
        <v>Excellent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tr">
        <f>'Level 2'!$B$19</f>
        <v>Q3</v>
      </c>
      <c r="B34" s="22" t="s">
        <v>232</v>
      </c>
      <c r="C34" s="40" t="s">
        <v>233</v>
      </c>
      <c r="D34" s="40" t="s">
        <v>234</v>
      </c>
      <c r="E34" s="41">
        <v>90.0</v>
      </c>
      <c r="F34" s="42">
        <v>0.2</v>
      </c>
      <c r="G34" s="40" t="str">
        <f t="shared" si="3"/>
        <v>Excellent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tr">
        <f>'Level 2'!$B$19</f>
        <v>Q3</v>
      </c>
      <c r="B35" s="22" t="s">
        <v>235</v>
      </c>
      <c r="C35" s="40" t="s">
        <v>236</v>
      </c>
      <c r="D35" s="40" t="s">
        <v>237</v>
      </c>
      <c r="E35" s="41">
        <v>90.0</v>
      </c>
      <c r="F35" s="42">
        <v>0.15</v>
      </c>
      <c r="G35" s="40" t="str">
        <f t="shared" si="3"/>
        <v>Excellent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tr">
        <f>'Level 2'!$B$19</f>
        <v>Q3</v>
      </c>
      <c r="B36" s="22" t="s">
        <v>238</v>
      </c>
      <c r="C36" s="40" t="s">
        <v>239</v>
      </c>
      <c r="D36" s="40" t="s">
        <v>240</v>
      </c>
      <c r="E36" s="41">
        <v>85.0</v>
      </c>
      <c r="F36" s="42">
        <v>0.15</v>
      </c>
      <c r="G36" s="40" t="str">
        <f t="shared" si="3"/>
        <v> Good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tr">
        <f>'Level 2'!$B$19</f>
        <v>Q3</v>
      </c>
      <c r="B37" s="22" t="s">
        <v>241</v>
      </c>
      <c r="C37" s="40" t="s">
        <v>242</v>
      </c>
      <c r="D37" s="40" t="s">
        <v>53</v>
      </c>
      <c r="E37" s="41">
        <v>85.0</v>
      </c>
      <c r="F37" s="42">
        <v>0.1</v>
      </c>
      <c r="G37" s="40" t="str">
        <f t="shared" si="3"/>
        <v> Good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40"/>
      <c r="D38" s="40"/>
      <c r="E38" s="41"/>
      <c r="F38" s="4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7" t="s">
        <v>243</v>
      </c>
      <c r="E39" s="32">
        <f>sum(E32:E37)/6</f>
        <v>90</v>
      </c>
      <c r="F39" s="65">
        <v>0.2</v>
      </c>
      <c r="G39" s="66" t="str">
        <f>IF(E39&gt;=90,"Excellent",
IF(E39&gt;=80," Good",
IF(E39&gt;=60," Needs Improvement",
" Poor")))</f>
        <v>Excellent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8" t="s">
        <v>244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7" t="s">
        <v>52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6" t="s">
        <v>93</v>
      </c>
      <c r="B44" s="47" t="s">
        <v>94</v>
      </c>
      <c r="C44" s="45" t="s">
        <v>95</v>
      </c>
      <c r="D44" s="45" t="s">
        <v>25</v>
      </c>
      <c r="E44" s="45" t="s">
        <v>6</v>
      </c>
      <c r="F44" s="45" t="s">
        <v>5</v>
      </c>
      <c r="G44" s="47" t="s">
        <v>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tr">
        <f>'Level 2'!$B$20</f>
        <v>Q4</v>
      </c>
      <c r="B45" s="22" t="s">
        <v>245</v>
      </c>
      <c r="C45" s="40" t="s">
        <v>246</v>
      </c>
      <c r="D45" s="40" t="s">
        <v>214</v>
      </c>
      <c r="E45" s="41">
        <v>95.0</v>
      </c>
      <c r="F45" s="42">
        <v>0.2</v>
      </c>
      <c r="G45" s="40" t="str">
        <f t="shared" ref="G45:G50" si="4">IF(E32&gt;=45,"Excellent",
IF(E32&gt;=45," Good",
IF(E32&gt;=45," Needs Improvement",
" Poor")))</f>
        <v>Excellent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tr">
        <f>'Level 2'!$B$20</f>
        <v>Q4</v>
      </c>
      <c r="B46" s="22" t="s">
        <v>247</v>
      </c>
      <c r="C46" s="40" t="s">
        <v>248</v>
      </c>
      <c r="D46" s="40" t="s">
        <v>249</v>
      </c>
      <c r="E46" s="41">
        <v>90.0</v>
      </c>
      <c r="F46" s="42">
        <v>0.2</v>
      </c>
      <c r="G46" s="40" t="str">
        <f t="shared" si="4"/>
        <v>Excellent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tr">
        <f>'Level 2'!$B$20</f>
        <v>Q4</v>
      </c>
      <c r="B47" s="22" t="s">
        <v>250</v>
      </c>
      <c r="C47" s="40" t="s">
        <v>251</v>
      </c>
      <c r="D47" s="40" t="s">
        <v>252</v>
      </c>
      <c r="E47" s="41">
        <v>90.0</v>
      </c>
      <c r="F47" s="42">
        <v>0.2</v>
      </c>
      <c r="G47" s="40" t="str">
        <f t="shared" si="4"/>
        <v>Excellent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tr">
        <f>'Level 2'!$B$20</f>
        <v>Q4</v>
      </c>
      <c r="B48" s="22" t="s">
        <v>253</v>
      </c>
      <c r="C48" s="40" t="s">
        <v>254</v>
      </c>
      <c r="D48" s="40" t="s">
        <v>255</v>
      </c>
      <c r="E48" s="41">
        <v>85.0</v>
      </c>
      <c r="F48" s="42">
        <v>0.15</v>
      </c>
      <c r="G48" s="40" t="str">
        <f t="shared" si="4"/>
        <v>Excellent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tr">
        <f>'Level 2'!$B$20</f>
        <v>Q4</v>
      </c>
      <c r="B49" s="22" t="s">
        <v>256</v>
      </c>
      <c r="C49" s="40" t="s">
        <v>257</v>
      </c>
      <c r="D49" s="40" t="s">
        <v>219</v>
      </c>
      <c r="E49" s="41">
        <v>85.0</v>
      </c>
      <c r="F49" s="42">
        <v>0.15</v>
      </c>
      <c r="G49" s="40" t="str">
        <f t="shared" si="4"/>
        <v>Excellent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tr">
        <f>'Level 2'!$B$20</f>
        <v>Q4</v>
      </c>
      <c r="B50" s="22" t="s">
        <v>258</v>
      </c>
      <c r="C50" s="40" t="s">
        <v>259</v>
      </c>
      <c r="D50" s="40" t="s">
        <v>260</v>
      </c>
      <c r="E50" s="41">
        <v>80.0</v>
      </c>
      <c r="F50" s="42">
        <v>0.1</v>
      </c>
      <c r="G50" s="40" t="str">
        <f t="shared" si="4"/>
        <v>Excellent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40"/>
      <c r="D51" s="40"/>
      <c r="E51" s="41"/>
      <c r="F51" s="4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7" t="s">
        <v>261</v>
      </c>
      <c r="E52" s="32">
        <f>sum(E45:E50)/6</f>
        <v>87.5</v>
      </c>
      <c r="F52" s="65">
        <v>0.15</v>
      </c>
      <c r="G52" s="66" t="str">
        <f>IF(E39&gt;=45,"Excellent",
IF(E39&gt;=45," Good",
IF(E39&gt;=45," Needs Improvement",
" Poor")))</f>
        <v>Excellent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8" t="s">
        <v>262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7" t="s">
        <v>55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6" t="s">
        <v>93</v>
      </c>
      <c r="B57" s="47" t="s">
        <v>94</v>
      </c>
      <c r="C57" s="45" t="s">
        <v>95</v>
      </c>
      <c r="D57" s="45" t="s">
        <v>25</v>
      </c>
      <c r="E57" s="45" t="s">
        <v>6</v>
      </c>
      <c r="F57" s="45" t="s">
        <v>5</v>
      </c>
      <c r="G57" s="47" t="s">
        <v>7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tr">
        <f>'Level 2'!$B$21</f>
        <v>Q5</v>
      </c>
      <c r="B58" s="22" t="s">
        <v>263</v>
      </c>
      <c r="C58" s="40" t="s">
        <v>264</v>
      </c>
      <c r="D58" s="40" t="s">
        <v>214</v>
      </c>
      <c r="E58" s="41">
        <v>95.0</v>
      </c>
      <c r="F58" s="42">
        <v>0.25</v>
      </c>
      <c r="G58" s="40" t="str">
        <f t="shared" ref="G58:G62" si="5">IF(E58&gt;=90,"Excellent",
IF(E58&gt;=80," Good",
IF(E58&gt;=60," Needs Improvement",
" Poor")))</f>
        <v>Excellent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tr">
        <f>'Level 2'!$B$21</f>
        <v>Q5</v>
      </c>
      <c r="B59" s="22" t="s">
        <v>265</v>
      </c>
      <c r="C59" s="40" t="s">
        <v>266</v>
      </c>
      <c r="D59" s="40" t="s">
        <v>267</v>
      </c>
      <c r="E59" s="41">
        <v>90.0</v>
      </c>
      <c r="F59" s="42">
        <v>0.25</v>
      </c>
      <c r="G59" s="40" t="str">
        <f t="shared" si="5"/>
        <v>Excellent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tr">
        <f>'Level 2'!$B$21</f>
        <v>Q5</v>
      </c>
      <c r="B60" s="22" t="s">
        <v>268</v>
      </c>
      <c r="C60" s="40" t="s">
        <v>269</v>
      </c>
      <c r="D60" s="40" t="s">
        <v>44</v>
      </c>
      <c r="E60" s="41">
        <v>90.0</v>
      </c>
      <c r="F60" s="42">
        <v>0.2</v>
      </c>
      <c r="G60" s="40" t="str">
        <f t="shared" si="5"/>
        <v>Excellent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tr">
        <f>'Level 2'!$B$21</f>
        <v>Q5</v>
      </c>
      <c r="B61" s="22" t="s">
        <v>270</v>
      </c>
      <c r="C61" s="40" t="s">
        <v>271</v>
      </c>
      <c r="D61" s="40" t="s">
        <v>196</v>
      </c>
      <c r="E61" s="41">
        <v>85.0</v>
      </c>
      <c r="F61" s="42">
        <v>0.15</v>
      </c>
      <c r="G61" s="40" t="str">
        <f t="shared" si="5"/>
        <v> Good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tr">
        <f>'Level 2'!$B$21</f>
        <v>Q5</v>
      </c>
      <c r="B62" s="22" t="s">
        <v>272</v>
      </c>
      <c r="C62" s="40" t="s">
        <v>273</v>
      </c>
      <c r="D62" s="40" t="s">
        <v>202</v>
      </c>
      <c r="E62" s="41">
        <v>90.0</v>
      </c>
      <c r="F62" s="42">
        <v>0.15</v>
      </c>
      <c r="G62" s="40" t="str">
        <f t="shared" si="5"/>
        <v>Excellent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40"/>
      <c r="D63" s="40"/>
      <c r="E63" s="41"/>
      <c r="F63" s="4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7" t="s">
        <v>274</v>
      </c>
      <c r="E64" s="32">
        <f>sum(E58:E62)/5</f>
        <v>90</v>
      </c>
      <c r="F64" s="65">
        <v>0.15</v>
      </c>
      <c r="G64" s="66" t="str">
        <f>IF(E64&gt;=90,"Excellent",
IF(E64&gt;=80," Good",
IF(E64&gt;=60," Needs Improvement",
" Poor")))</f>
        <v>Excellent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8" t="s">
        <v>275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7" t="s">
        <v>58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6" t="s">
        <v>93</v>
      </c>
      <c r="B69" s="47" t="s">
        <v>94</v>
      </c>
      <c r="C69" s="45" t="s">
        <v>95</v>
      </c>
      <c r="D69" s="45" t="s">
        <v>25</v>
      </c>
      <c r="E69" s="45" t="s">
        <v>6</v>
      </c>
      <c r="F69" s="45" t="s">
        <v>5</v>
      </c>
      <c r="G69" s="47" t="s">
        <v>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tr">
        <f>'Level 2'!$B$22</f>
        <v>Q6</v>
      </c>
      <c r="B70" s="22" t="s">
        <v>276</v>
      </c>
      <c r="C70" s="40" t="s">
        <v>217</v>
      </c>
      <c r="D70" s="40" t="s">
        <v>59</v>
      </c>
      <c r="E70" s="41">
        <v>95.0</v>
      </c>
      <c r="F70" s="42">
        <v>0.25</v>
      </c>
      <c r="G70" s="40" t="str">
        <f t="shared" ref="G70:G74" si="6">IF(E70&gt;=90,"Excellent",
IF(E70&gt;=80," Good",
IF(E70&gt;=60," Needs Improvement",
" Poor")))</f>
        <v>Excellent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tr">
        <f>'Level 2'!$B$22</f>
        <v>Q6</v>
      </c>
      <c r="B71" s="22" t="s">
        <v>277</v>
      </c>
      <c r="C71" s="40" t="s">
        <v>278</v>
      </c>
      <c r="D71" s="40" t="s">
        <v>205</v>
      </c>
      <c r="E71" s="41">
        <v>90.0</v>
      </c>
      <c r="F71" s="42">
        <v>0.25</v>
      </c>
      <c r="G71" s="40" t="str">
        <f t="shared" si="6"/>
        <v>Excellent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tr">
        <f>'Level 2'!$B$22</f>
        <v>Q6</v>
      </c>
      <c r="B72" s="22" t="s">
        <v>279</v>
      </c>
      <c r="C72" s="40" t="s">
        <v>280</v>
      </c>
      <c r="D72" s="40" t="s">
        <v>281</v>
      </c>
      <c r="E72" s="41">
        <v>85.0</v>
      </c>
      <c r="F72" s="42">
        <v>0.2</v>
      </c>
      <c r="G72" s="40" t="str">
        <f t="shared" si="6"/>
        <v> Good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tr">
        <f>'Level 2'!$B$22</f>
        <v>Q6</v>
      </c>
      <c r="B73" s="22" t="s">
        <v>282</v>
      </c>
      <c r="C73" s="40" t="s">
        <v>283</v>
      </c>
      <c r="D73" s="40" t="s">
        <v>214</v>
      </c>
      <c r="E73" s="41">
        <v>90.0</v>
      </c>
      <c r="F73" s="42">
        <v>0.15</v>
      </c>
      <c r="G73" s="40" t="str">
        <f t="shared" si="6"/>
        <v>Excellent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tr">
        <f>'Level 2'!$B$22</f>
        <v>Q6</v>
      </c>
      <c r="B74" s="22" t="s">
        <v>284</v>
      </c>
      <c r="C74" s="40" t="s">
        <v>285</v>
      </c>
      <c r="D74" s="40" t="s">
        <v>196</v>
      </c>
      <c r="E74" s="41">
        <v>90.0</v>
      </c>
      <c r="F74" s="42">
        <v>0.15</v>
      </c>
      <c r="G74" s="40" t="str">
        <f t="shared" si="6"/>
        <v>Excellent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40"/>
      <c r="D75" s="40"/>
      <c r="E75" s="41"/>
      <c r="F75" s="4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7" t="s">
        <v>286</v>
      </c>
      <c r="E76" s="32">
        <f>sum(E70:E74)/5</f>
        <v>90</v>
      </c>
      <c r="F76" s="65">
        <v>0.1</v>
      </c>
      <c r="G76" s="66" t="str">
        <f>IF(E76&gt;=90,"Excellent",
IF(E76&gt;=80," Good",
IF(E76&gt;=60," Needs Improvement",
" Poor")))</f>
        <v>Excellent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9">
    <mergeCell ref="A1:G1"/>
    <mergeCell ref="A3:G3"/>
    <mergeCell ref="A4:G4"/>
    <mergeCell ref="A13:D13"/>
    <mergeCell ref="A16:G16"/>
    <mergeCell ref="A17:G17"/>
    <mergeCell ref="A26:D26"/>
    <mergeCell ref="A52:D52"/>
    <mergeCell ref="A64:D64"/>
    <mergeCell ref="A67:G67"/>
    <mergeCell ref="A68:G68"/>
    <mergeCell ref="A76:D76"/>
    <mergeCell ref="A29:G29"/>
    <mergeCell ref="A30:G30"/>
    <mergeCell ref="A39:D39"/>
    <mergeCell ref="A42:G42"/>
    <mergeCell ref="A43:G43"/>
    <mergeCell ref="A55:G55"/>
    <mergeCell ref="A56:G5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63"/>
    <col customWidth="1" min="4" max="4" width="32.13"/>
    <col customWidth="1" min="5" max="5" width="15.25"/>
    <col customWidth="1" min="6" max="6" width="14.88"/>
    <col customWidth="1" min="7" max="7" width="14.38"/>
  </cols>
  <sheetData>
    <row r="1">
      <c r="A1" s="43" t="s">
        <v>287</v>
      </c>
    </row>
    <row r="2">
      <c r="A2" s="3"/>
      <c r="B2" s="3"/>
      <c r="C2" s="3"/>
      <c r="D2" s="3"/>
      <c r="E2" s="3"/>
      <c r="F2" s="3"/>
      <c r="G2" s="3"/>
    </row>
    <row r="3">
      <c r="A3" s="44" t="s">
        <v>288</v>
      </c>
    </row>
    <row r="4">
      <c r="A4" s="47" t="s">
        <v>62</v>
      </c>
    </row>
    <row r="5">
      <c r="A5" s="46" t="s">
        <v>93</v>
      </c>
      <c r="B5" s="47" t="s">
        <v>94</v>
      </c>
      <c r="C5" s="45" t="s">
        <v>95</v>
      </c>
      <c r="D5" s="45" t="s">
        <v>25</v>
      </c>
      <c r="E5" s="45" t="s">
        <v>6</v>
      </c>
      <c r="F5" s="45" t="s">
        <v>5</v>
      </c>
      <c r="G5" s="47" t="s">
        <v>7</v>
      </c>
    </row>
    <row r="6">
      <c r="A6" s="22" t="str">
        <f>'Level 2'!$B$29</f>
        <v>R1</v>
      </c>
      <c r="B6" s="22" t="s">
        <v>289</v>
      </c>
      <c r="C6" s="40" t="s">
        <v>290</v>
      </c>
      <c r="D6" s="40" t="s">
        <v>63</v>
      </c>
      <c r="E6" s="41">
        <v>95.0</v>
      </c>
      <c r="F6" s="42">
        <v>0.25</v>
      </c>
      <c r="G6" s="40" t="str">
        <f t="shared" ref="G6:G10" si="1">IF(E6&gt;=90,"Excellent",
IF(E6&gt;=80," Good",
IF(E6&gt;=60," Needs Improvement",
" Poor")))</f>
        <v>Excellent</v>
      </c>
    </row>
    <row r="7">
      <c r="A7" s="22" t="str">
        <f>'Level 2'!$B$29</f>
        <v>R1</v>
      </c>
      <c r="B7" s="22" t="s">
        <v>291</v>
      </c>
      <c r="C7" s="40" t="s">
        <v>292</v>
      </c>
      <c r="D7" s="40" t="s">
        <v>293</v>
      </c>
      <c r="E7" s="41">
        <v>90.0</v>
      </c>
      <c r="F7" s="42">
        <v>0.2</v>
      </c>
      <c r="G7" s="40" t="str">
        <f t="shared" si="1"/>
        <v>Excellent</v>
      </c>
    </row>
    <row r="8">
      <c r="A8" s="22" t="str">
        <f>'Level 2'!$B$29</f>
        <v>R1</v>
      </c>
      <c r="B8" s="22" t="s">
        <v>294</v>
      </c>
      <c r="C8" s="40" t="s">
        <v>295</v>
      </c>
      <c r="D8" s="40" t="s">
        <v>296</v>
      </c>
      <c r="E8" s="41">
        <v>90.0</v>
      </c>
      <c r="F8" s="42">
        <v>0.2</v>
      </c>
      <c r="G8" s="40" t="str">
        <f t="shared" si="1"/>
        <v>Excellent</v>
      </c>
    </row>
    <row r="9">
      <c r="A9" s="22" t="str">
        <f>'Level 2'!$B$29</f>
        <v>R1</v>
      </c>
      <c r="B9" s="22" t="s">
        <v>297</v>
      </c>
      <c r="C9" s="40" t="s">
        <v>298</v>
      </c>
      <c r="D9" s="40" t="s">
        <v>299</v>
      </c>
      <c r="E9" s="41">
        <v>95.0</v>
      </c>
      <c r="F9" s="42">
        <v>0.2</v>
      </c>
      <c r="G9" s="40" t="str">
        <f t="shared" si="1"/>
        <v>Excellent</v>
      </c>
    </row>
    <row r="10">
      <c r="A10" s="22" t="str">
        <f>'Level 2'!$B$29</f>
        <v>R1</v>
      </c>
      <c r="B10" s="22" t="s">
        <v>300</v>
      </c>
      <c r="C10" s="40" t="s">
        <v>301</v>
      </c>
      <c r="D10" s="40" t="s">
        <v>151</v>
      </c>
      <c r="E10" s="41">
        <v>85.0</v>
      </c>
      <c r="F10" s="42">
        <v>0.15</v>
      </c>
      <c r="G10" s="40" t="str">
        <f t="shared" si="1"/>
        <v> Good</v>
      </c>
    </row>
    <row r="11">
      <c r="C11" s="40"/>
      <c r="D11" s="40"/>
      <c r="E11" s="41"/>
      <c r="F11" s="42"/>
    </row>
    <row r="12">
      <c r="A12" s="57" t="s">
        <v>302</v>
      </c>
      <c r="E12" s="32">
        <f>sum(E6:E10)/5</f>
        <v>91</v>
      </c>
      <c r="F12" s="65">
        <v>0.2</v>
      </c>
      <c r="G12" s="66" t="str">
        <f>IF(E12&gt;=90,"Excellent",
IF(E12&gt;=80," Good",
IF(E12&gt;=60," Needs Improvement",
" Poor")))</f>
        <v>Excellent</v>
      </c>
    </row>
    <row r="13">
      <c r="A13" s="5"/>
      <c r="B13" s="5"/>
      <c r="C13" s="5"/>
      <c r="D13" s="5"/>
      <c r="E13" s="5"/>
      <c r="F13" s="5"/>
      <c r="G13" s="5"/>
    </row>
    <row r="14">
      <c r="A14" s="3"/>
      <c r="B14" s="3"/>
      <c r="C14" s="3"/>
      <c r="D14" s="3"/>
      <c r="E14" s="3"/>
      <c r="F14" s="3"/>
      <c r="G14" s="3"/>
    </row>
    <row r="15">
      <c r="A15" s="44" t="s">
        <v>303</v>
      </c>
    </row>
    <row r="16">
      <c r="A16" s="47" t="s">
        <v>304</v>
      </c>
    </row>
    <row r="17">
      <c r="A17" s="46" t="s">
        <v>93</v>
      </c>
      <c r="B17" s="47" t="s">
        <v>94</v>
      </c>
      <c r="C17" s="45" t="s">
        <v>95</v>
      </c>
      <c r="D17" s="45" t="s">
        <v>25</v>
      </c>
      <c r="E17" s="45" t="s">
        <v>6</v>
      </c>
      <c r="F17" s="45" t="s">
        <v>5</v>
      </c>
      <c r="G17" s="47" t="s">
        <v>7</v>
      </c>
    </row>
    <row r="18">
      <c r="A18" s="22" t="str">
        <f>'Level 2'!$B$30</f>
        <v>R2</v>
      </c>
      <c r="B18" s="22" t="s">
        <v>305</v>
      </c>
      <c r="C18" s="40" t="s">
        <v>306</v>
      </c>
      <c r="D18" s="40" t="s">
        <v>307</v>
      </c>
      <c r="E18" s="41">
        <v>95.0</v>
      </c>
      <c r="F18" s="42">
        <v>0.25</v>
      </c>
      <c r="G18" s="40" t="str">
        <f t="shared" ref="G18:G22" si="2">IF(E18&gt;=90,"Excellent",
IF(E18&gt;=80," Good",
IF(E18&gt;=60," Needs Improvement",
" Poor")))</f>
        <v>Excellent</v>
      </c>
    </row>
    <row r="19">
      <c r="A19" s="22" t="str">
        <f>'Level 2'!$B$30</f>
        <v>R2</v>
      </c>
      <c r="B19" s="22" t="s">
        <v>308</v>
      </c>
      <c r="C19" s="40" t="s">
        <v>309</v>
      </c>
      <c r="D19" s="40" t="s">
        <v>310</v>
      </c>
      <c r="E19" s="41">
        <v>95.0</v>
      </c>
      <c r="F19" s="42">
        <v>0.2</v>
      </c>
      <c r="G19" s="40" t="str">
        <f t="shared" si="2"/>
        <v>Excellent</v>
      </c>
    </row>
    <row r="20">
      <c r="A20" s="22" t="str">
        <f>'Level 2'!$B$30</f>
        <v>R2</v>
      </c>
      <c r="B20" s="22" t="s">
        <v>311</v>
      </c>
      <c r="C20" s="40" t="s">
        <v>312</v>
      </c>
      <c r="D20" s="40" t="s">
        <v>313</v>
      </c>
      <c r="E20" s="41">
        <v>90.0</v>
      </c>
      <c r="F20" s="42">
        <v>0.2</v>
      </c>
      <c r="G20" s="40" t="str">
        <f t="shared" si="2"/>
        <v>Excellent</v>
      </c>
    </row>
    <row r="21">
      <c r="A21" s="22" t="str">
        <f>'Level 2'!$B$30</f>
        <v>R2</v>
      </c>
      <c r="B21" s="22" t="s">
        <v>314</v>
      </c>
      <c r="C21" s="40" t="s">
        <v>315</v>
      </c>
      <c r="D21" s="40" t="s">
        <v>316</v>
      </c>
      <c r="E21" s="41">
        <v>90.0</v>
      </c>
      <c r="F21" s="42">
        <v>0.2</v>
      </c>
      <c r="G21" s="40" t="str">
        <f t="shared" si="2"/>
        <v>Excellent</v>
      </c>
    </row>
    <row r="22">
      <c r="A22" s="22" t="str">
        <f>'Level 2'!$B$30</f>
        <v>R2</v>
      </c>
      <c r="B22" s="22" t="s">
        <v>317</v>
      </c>
      <c r="C22" s="40" t="s">
        <v>318</v>
      </c>
      <c r="D22" s="40" t="s">
        <v>319</v>
      </c>
      <c r="E22" s="41">
        <v>85.0</v>
      </c>
      <c r="F22" s="42">
        <v>0.15</v>
      </c>
      <c r="G22" s="40" t="str">
        <f t="shared" si="2"/>
        <v> Good</v>
      </c>
    </row>
    <row r="23">
      <c r="A23" s="24"/>
      <c r="C23" s="24"/>
      <c r="D23" s="24"/>
      <c r="E23" s="24"/>
      <c r="F23" s="24"/>
    </row>
    <row r="24">
      <c r="A24" s="51" t="s">
        <v>320</v>
      </c>
      <c r="E24" s="52">
        <f>SUM(E18:E22)/5</f>
        <v>91</v>
      </c>
      <c r="F24" s="53">
        <v>0.25</v>
      </c>
      <c r="G24" s="66" t="str">
        <f>IF(E24&gt;=90,"Excellent",
IF(E24&gt;=80," Good",
IF(E24&gt;=60," Needs Improvement",
" Poor")))</f>
        <v>Excellent</v>
      </c>
    </row>
    <row r="25">
      <c r="A25" s="37"/>
      <c r="B25" s="37"/>
      <c r="C25" s="37"/>
      <c r="D25" s="37"/>
      <c r="E25" s="38"/>
      <c r="F25" s="55"/>
      <c r="G25" s="56"/>
    </row>
    <row r="26">
      <c r="A26" s="37"/>
      <c r="B26" s="37"/>
      <c r="C26" s="37"/>
      <c r="D26" s="37"/>
      <c r="E26" s="38"/>
      <c r="F26" s="55"/>
      <c r="G26" s="56"/>
    </row>
    <row r="27">
      <c r="A27" s="44" t="s">
        <v>321</v>
      </c>
    </row>
    <row r="28">
      <c r="A28" s="47" t="s">
        <v>68</v>
      </c>
    </row>
    <row r="29">
      <c r="A29" s="46" t="s">
        <v>93</v>
      </c>
      <c r="B29" s="47" t="s">
        <v>94</v>
      </c>
      <c r="C29" s="45" t="s">
        <v>95</v>
      </c>
      <c r="D29" s="45" t="s">
        <v>25</v>
      </c>
      <c r="E29" s="45" t="s">
        <v>6</v>
      </c>
      <c r="F29" s="45" t="s">
        <v>5</v>
      </c>
      <c r="G29" s="47" t="s">
        <v>7</v>
      </c>
    </row>
    <row r="30">
      <c r="A30" s="3" t="str">
        <f>'Level 2'!$B$31</f>
        <v>R3</v>
      </c>
      <c r="B30" s="22" t="s">
        <v>322</v>
      </c>
      <c r="C30" s="40" t="s">
        <v>323</v>
      </c>
      <c r="D30" s="40" t="s">
        <v>324</v>
      </c>
      <c r="E30" s="41">
        <v>95.0</v>
      </c>
      <c r="F30" s="42">
        <v>0.25</v>
      </c>
      <c r="G30" s="40" t="str">
        <f t="shared" ref="G30:G34" si="3">IF(E30&gt;=90,"Excellent",
IF(E30&gt;=80," Good",
IF(E30&gt;=60," Needs Improvement",
" Poor")))</f>
        <v>Excellent</v>
      </c>
    </row>
    <row r="31">
      <c r="A31" s="3" t="str">
        <f>'Level 2'!$B$31</f>
        <v>R3</v>
      </c>
      <c r="B31" s="22" t="s">
        <v>325</v>
      </c>
      <c r="C31" s="40" t="s">
        <v>326</v>
      </c>
      <c r="D31" s="40" t="s">
        <v>121</v>
      </c>
      <c r="E31" s="41">
        <v>90.0</v>
      </c>
      <c r="F31" s="42">
        <v>0.2</v>
      </c>
      <c r="G31" s="40" t="str">
        <f t="shared" si="3"/>
        <v>Excellent</v>
      </c>
    </row>
    <row r="32">
      <c r="A32" s="3" t="str">
        <f>'Level 2'!$B$31</f>
        <v>R3</v>
      </c>
      <c r="B32" s="22" t="s">
        <v>327</v>
      </c>
      <c r="C32" s="40" t="s">
        <v>328</v>
      </c>
      <c r="D32" s="40" t="s">
        <v>329</v>
      </c>
      <c r="E32" s="41">
        <v>90.0</v>
      </c>
      <c r="F32" s="42">
        <v>0.2</v>
      </c>
      <c r="G32" s="40" t="str">
        <f t="shared" si="3"/>
        <v>Excellent</v>
      </c>
    </row>
    <row r="33">
      <c r="A33" s="3" t="str">
        <f>'Level 2'!$B$31</f>
        <v>R3</v>
      </c>
      <c r="B33" s="22" t="s">
        <v>330</v>
      </c>
      <c r="C33" s="40" t="s">
        <v>331</v>
      </c>
      <c r="D33" s="40" t="s">
        <v>332</v>
      </c>
      <c r="E33" s="41">
        <v>85.0</v>
      </c>
      <c r="F33" s="42">
        <v>0.2</v>
      </c>
      <c r="G33" s="40" t="str">
        <f t="shared" si="3"/>
        <v> Good</v>
      </c>
    </row>
    <row r="34">
      <c r="A34" s="3" t="str">
        <f>'Level 2'!$B$31</f>
        <v>R3</v>
      </c>
      <c r="B34" s="22" t="s">
        <v>333</v>
      </c>
      <c r="C34" s="40" t="s">
        <v>334</v>
      </c>
      <c r="D34" s="40" t="s">
        <v>249</v>
      </c>
      <c r="E34" s="41">
        <v>90.0</v>
      </c>
      <c r="F34" s="42">
        <v>0.15</v>
      </c>
      <c r="G34" s="40" t="str">
        <f t="shared" si="3"/>
        <v>Excellent</v>
      </c>
    </row>
    <row r="35">
      <c r="C35" s="24"/>
      <c r="D35" s="24"/>
      <c r="E35" s="24"/>
      <c r="F35" s="24"/>
    </row>
    <row r="36">
      <c r="A36" s="57" t="s">
        <v>335</v>
      </c>
      <c r="E36" s="52">
        <f>SUM(E30:E34)/5</f>
        <v>90</v>
      </c>
      <c r="F36" s="53">
        <v>0.25</v>
      </c>
      <c r="G36" s="66" t="str">
        <f>IF(E36&gt;=90,"Excellent",
IF(E36&gt;=80," Good",
IF(E36&gt;=60," Needs Improvement",
" Poor")))</f>
        <v>Excellent</v>
      </c>
    </row>
    <row r="39">
      <c r="A39" s="67" t="s">
        <v>336</v>
      </c>
      <c r="G39" s="59"/>
    </row>
    <row r="40">
      <c r="A40" s="47" t="s">
        <v>71</v>
      </c>
    </row>
    <row r="41">
      <c r="A41" s="60" t="s">
        <v>93</v>
      </c>
      <c r="B41" s="45" t="s">
        <v>94</v>
      </c>
      <c r="C41" s="45" t="s">
        <v>95</v>
      </c>
      <c r="D41" s="45" t="s">
        <v>25</v>
      </c>
      <c r="E41" s="45" t="s">
        <v>6</v>
      </c>
      <c r="F41" s="45" t="s">
        <v>5</v>
      </c>
      <c r="G41" s="45" t="s">
        <v>7</v>
      </c>
    </row>
    <row r="42">
      <c r="A42" s="5" t="str">
        <f>'Level 2'!$B$32</f>
        <v>R4</v>
      </c>
      <c r="B42" s="21" t="s">
        <v>337</v>
      </c>
      <c r="C42" s="40" t="s">
        <v>338</v>
      </c>
      <c r="D42" s="40" t="s">
        <v>231</v>
      </c>
      <c r="E42" s="41">
        <v>95.0</v>
      </c>
      <c r="F42" s="42">
        <v>0.25</v>
      </c>
      <c r="G42" s="40" t="str">
        <f t="shared" ref="G42:G46" si="4">IF(E42&gt;=90,"Excellent",
IF(E42&gt;=80," Good",
IF(E42&gt;=60," Needs Improvement",
" Poor")))</f>
        <v>Excellent</v>
      </c>
    </row>
    <row r="43">
      <c r="A43" s="5" t="str">
        <f>'Level 2'!$B$32</f>
        <v>R4</v>
      </c>
      <c r="B43" s="21" t="s">
        <v>339</v>
      </c>
      <c r="C43" s="40" t="s">
        <v>340</v>
      </c>
      <c r="D43" s="40" t="s">
        <v>231</v>
      </c>
      <c r="E43" s="41">
        <v>90.0</v>
      </c>
      <c r="F43" s="42">
        <v>0.2</v>
      </c>
      <c r="G43" s="40" t="str">
        <f t="shared" si="4"/>
        <v>Excellent</v>
      </c>
    </row>
    <row r="44">
      <c r="A44" s="5" t="str">
        <f>'Level 2'!$B$32</f>
        <v>R4</v>
      </c>
      <c r="B44" s="21" t="s">
        <v>341</v>
      </c>
      <c r="C44" s="40" t="s">
        <v>342</v>
      </c>
      <c r="D44" s="40" t="s">
        <v>84</v>
      </c>
      <c r="E44" s="41">
        <v>90.0</v>
      </c>
      <c r="F44" s="42">
        <v>0.2</v>
      </c>
      <c r="G44" s="40" t="str">
        <f t="shared" si="4"/>
        <v>Excellent</v>
      </c>
    </row>
    <row r="45">
      <c r="A45" s="5" t="str">
        <f>'Level 2'!$B$32</f>
        <v>R4</v>
      </c>
      <c r="B45" s="21" t="s">
        <v>343</v>
      </c>
      <c r="C45" s="40" t="s">
        <v>344</v>
      </c>
      <c r="D45" s="40" t="s">
        <v>345</v>
      </c>
      <c r="E45" s="41">
        <v>85.0</v>
      </c>
      <c r="F45" s="42">
        <v>0.2</v>
      </c>
      <c r="G45" s="40" t="str">
        <f t="shared" si="4"/>
        <v> Good</v>
      </c>
    </row>
    <row r="46">
      <c r="A46" s="5" t="str">
        <f>'Level 2'!$B$32</f>
        <v>R4</v>
      </c>
      <c r="B46" s="21" t="s">
        <v>346</v>
      </c>
      <c r="C46" s="40" t="s">
        <v>347</v>
      </c>
      <c r="D46" s="40" t="s">
        <v>348</v>
      </c>
      <c r="E46" s="41">
        <v>85.0</v>
      </c>
      <c r="F46" s="42">
        <v>0.15</v>
      </c>
      <c r="G46" s="40" t="str">
        <f t="shared" si="4"/>
        <v> Good</v>
      </c>
    </row>
    <row r="47">
      <c r="A47" s="5"/>
      <c r="B47" s="21"/>
      <c r="C47" s="40"/>
      <c r="D47" s="40"/>
      <c r="E47" s="41"/>
      <c r="F47" s="42"/>
    </row>
    <row r="48">
      <c r="A48" s="57" t="s">
        <v>349</v>
      </c>
      <c r="E48" s="62">
        <f>SUM(E42:E46)/5</f>
        <v>89</v>
      </c>
      <c r="F48" s="63">
        <v>0.15</v>
      </c>
      <c r="G48" s="66" t="str">
        <f>IF(E48&gt;=90,"Excellent",
IF(E48&gt;=80," Good",
IF(E48&gt;=60," Needs Improvement",
" Poor")))</f>
        <v> Good</v>
      </c>
    </row>
    <row r="49">
      <c r="A49" s="3"/>
      <c r="B49" s="3"/>
      <c r="C49" s="3"/>
      <c r="D49" s="3"/>
      <c r="E49" s="3"/>
      <c r="F49" s="3"/>
      <c r="G49" s="3"/>
    </row>
    <row r="51">
      <c r="A51" s="67" t="s">
        <v>350</v>
      </c>
      <c r="G51" s="59"/>
    </row>
    <row r="52">
      <c r="A52" s="47" t="s">
        <v>73</v>
      </c>
    </row>
    <row r="53">
      <c r="A53" s="60" t="s">
        <v>93</v>
      </c>
      <c r="B53" s="45" t="s">
        <v>94</v>
      </c>
      <c r="C53" s="45" t="s">
        <v>95</v>
      </c>
      <c r="D53" s="45" t="s">
        <v>25</v>
      </c>
      <c r="E53" s="45" t="s">
        <v>6</v>
      </c>
      <c r="F53" s="45" t="s">
        <v>5</v>
      </c>
      <c r="G53" s="45" t="s">
        <v>7</v>
      </c>
    </row>
    <row r="54">
      <c r="A54" s="5" t="str">
        <f>'Level 2'!$B$33</f>
        <v>R5</v>
      </c>
      <c r="B54" s="21" t="s">
        <v>351</v>
      </c>
      <c r="C54" s="40" t="s">
        <v>352</v>
      </c>
      <c r="D54" s="40" t="s">
        <v>74</v>
      </c>
      <c r="E54" s="41">
        <v>95.0</v>
      </c>
      <c r="F54" s="42">
        <v>0.25</v>
      </c>
      <c r="G54" s="40" t="str">
        <f t="shared" ref="G54:G58" si="5">IF(E54&gt;=90,"Excellent",
IF(E54&gt;=80," Good",
IF(E54&gt;=60," Needs Improvement",
" Poor")))</f>
        <v>Excellent</v>
      </c>
    </row>
    <row r="55">
      <c r="A55" s="5" t="str">
        <f>'Level 2'!$B$33</f>
        <v>R5</v>
      </c>
      <c r="B55" s="21" t="s">
        <v>353</v>
      </c>
      <c r="C55" s="40" t="s">
        <v>354</v>
      </c>
      <c r="D55" s="40" t="s">
        <v>355</v>
      </c>
      <c r="E55" s="41">
        <v>90.0</v>
      </c>
      <c r="F55" s="42">
        <v>0.2</v>
      </c>
      <c r="G55" s="40" t="str">
        <f t="shared" si="5"/>
        <v>Excellent</v>
      </c>
    </row>
    <row r="56">
      <c r="A56" s="5" t="str">
        <f>'Level 2'!$B$33</f>
        <v>R5</v>
      </c>
      <c r="B56" s="21" t="s">
        <v>356</v>
      </c>
      <c r="C56" s="40" t="s">
        <v>357</v>
      </c>
      <c r="D56" s="40" t="s">
        <v>151</v>
      </c>
      <c r="E56" s="41">
        <v>90.0</v>
      </c>
      <c r="F56" s="42">
        <v>0.2</v>
      </c>
      <c r="G56" s="40" t="str">
        <f t="shared" si="5"/>
        <v>Excellent</v>
      </c>
    </row>
    <row r="57">
      <c r="A57" s="5" t="str">
        <f>'Level 2'!$B$33</f>
        <v>R5</v>
      </c>
      <c r="B57" s="21" t="s">
        <v>358</v>
      </c>
      <c r="C57" s="40" t="s">
        <v>359</v>
      </c>
      <c r="D57" s="40" t="s">
        <v>121</v>
      </c>
      <c r="E57" s="41">
        <v>85.0</v>
      </c>
      <c r="F57" s="42">
        <v>0.2</v>
      </c>
      <c r="G57" s="40" t="str">
        <f t="shared" si="5"/>
        <v> Good</v>
      </c>
    </row>
    <row r="58">
      <c r="A58" s="5" t="str">
        <f>'Level 2'!$B$33</f>
        <v>R5</v>
      </c>
      <c r="B58" s="21" t="s">
        <v>360</v>
      </c>
      <c r="C58" s="40" t="s">
        <v>361</v>
      </c>
      <c r="D58" s="40" t="s">
        <v>362</v>
      </c>
      <c r="E58" s="41">
        <v>90.0</v>
      </c>
      <c r="F58" s="42">
        <v>0.15</v>
      </c>
      <c r="G58" s="40" t="str">
        <f t="shared" si="5"/>
        <v>Excellent</v>
      </c>
    </row>
    <row r="59">
      <c r="A59" s="5"/>
      <c r="B59" s="21"/>
      <c r="C59" s="40"/>
      <c r="D59" s="40"/>
      <c r="E59" s="41"/>
      <c r="F59" s="42"/>
    </row>
    <row r="60">
      <c r="A60" s="57" t="s">
        <v>363</v>
      </c>
      <c r="E60" s="62">
        <f>SUM(E54:E58)/5</f>
        <v>90</v>
      </c>
      <c r="F60" s="63">
        <v>0.15</v>
      </c>
      <c r="G60" s="66" t="str">
        <f>IF(E60&gt;=90,"Excellent",
IF(E60&gt;=80," Good",
IF(E60&gt;=60," Needs Improvement",
" Poor")))</f>
        <v>Excellent</v>
      </c>
    </row>
  </sheetData>
  <mergeCells count="17">
    <mergeCell ref="A1:G1"/>
    <mergeCell ref="A3:G3"/>
    <mergeCell ref="A4:G4"/>
    <mergeCell ref="A12:D12"/>
    <mergeCell ref="A15:G15"/>
    <mergeCell ref="A16:G16"/>
    <mergeCell ref="A23:B23"/>
    <mergeCell ref="A51:F51"/>
    <mergeCell ref="A52:G52"/>
    <mergeCell ref="A60:D60"/>
    <mergeCell ref="A24:D24"/>
    <mergeCell ref="A27:G27"/>
    <mergeCell ref="A28:G28"/>
    <mergeCell ref="A36:D36"/>
    <mergeCell ref="A39:F39"/>
    <mergeCell ref="A40:G40"/>
    <mergeCell ref="A48:D4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63"/>
    <col customWidth="1" min="4" max="4" width="32.13"/>
    <col customWidth="1" min="5" max="5" width="15.25"/>
    <col customWidth="1" min="6" max="6" width="14.88"/>
    <col customWidth="1" min="7" max="7" width="17.38"/>
  </cols>
  <sheetData>
    <row r="1">
      <c r="A1" s="43" t="s">
        <v>364</v>
      </c>
    </row>
    <row r="2">
      <c r="A2" s="3"/>
      <c r="B2" s="3"/>
      <c r="C2" s="3"/>
      <c r="D2" s="3"/>
      <c r="E2" s="3"/>
      <c r="F2" s="3"/>
      <c r="G2" s="3"/>
    </row>
    <row r="3">
      <c r="A3" s="44" t="s">
        <v>365</v>
      </c>
    </row>
    <row r="4">
      <c r="A4" s="47" t="s">
        <v>77</v>
      </c>
    </row>
    <row r="5">
      <c r="A5" s="46" t="s">
        <v>93</v>
      </c>
      <c r="B5" s="47" t="s">
        <v>94</v>
      </c>
      <c r="C5" s="45" t="s">
        <v>95</v>
      </c>
      <c r="D5" s="45" t="s">
        <v>25</v>
      </c>
      <c r="E5" s="45" t="s">
        <v>6</v>
      </c>
      <c r="F5" s="45" t="s">
        <v>5</v>
      </c>
      <c r="G5" s="47" t="s">
        <v>7</v>
      </c>
    </row>
    <row r="6">
      <c r="A6" s="22" t="str">
        <f>'Level 2'!$B$40</f>
        <v>S1</v>
      </c>
      <c r="B6" s="22" t="s">
        <v>366</v>
      </c>
      <c r="C6" s="40" t="s">
        <v>367</v>
      </c>
      <c r="D6" s="40" t="s">
        <v>78</v>
      </c>
      <c r="E6" s="41">
        <v>95.0</v>
      </c>
      <c r="F6" s="42">
        <v>0.25</v>
      </c>
      <c r="G6" s="40" t="str">
        <f t="shared" ref="G6:G10" si="1">IF(E6&gt;=90,"Excellent",
IF(E6&gt;=80," Good",
IF(E6&gt;=60," Needs Improvement",
" Poor")))</f>
        <v>Excellent</v>
      </c>
    </row>
    <row r="7">
      <c r="A7" s="22" t="str">
        <f>'Level 2'!$B$40</f>
        <v>S1</v>
      </c>
      <c r="B7" s="22" t="s">
        <v>368</v>
      </c>
      <c r="C7" s="40" t="s">
        <v>369</v>
      </c>
      <c r="D7" s="40" t="s">
        <v>370</v>
      </c>
      <c r="E7" s="41">
        <v>90.0</v>
      </c>
      <c r="F7" s="42">
        <v>0.2</v>
      </c>
      <c r="G7" s="40" t="str">
        <f t="shared" si="1"/>
        <v>Excellent</v>
      </c>
    </row>
    <row r="8">
      <c r="A8" s="22" t="str">
        <f>'Level 2'!$B$40</f>
        <v>S1</v>
      </c>
      <c r="B8" s="22" t="s">
        <v>371</v>
      </c>
      <c r="C8" s="40" t="s">
        <v>372</v>
      </c>
      <c r="D8" s="40" t="s">
        <v>373</v>
      </c>
      <c r="E8" s="41">
        <v>90.0</v>
      </c>
      <c r="F8" s="42">
        <v>0.2</v>
      </c>
      <c r="G8" s="40" t="str">
        <f t="shared" si="1"/>
        <v>Excellent</v>
      </c>
    </row>
    <row r="9">
      <c r="A9" s="22" t="str">
        <f>'Level 2'!$B$40</f>
        <v>S1</v>
      </c>
      <c r="B9" s="22" t="s">
        <v>374</v>
      </c>
      <c r="C9" s="40" t="s">
        <v>375</v>
      </c>
      <c r="D9" s="40" t="s">
        <v>252</v>
      </c>
      <c r="E9" s="41">
        <v>85.0</v>
      </c>
      <c r="F9" s="42">
        <v>0.2</v>
      </c>
      <c r="G9" s="40" t="str">
        <f t="shared" si="1"/>
        <v> Good</v>
      </c>
    </row>
    <row r="10">
      <c r="A10" s="22" t="str">
        <f>'Level 2'!$B$40</f>
        <v>S1</v>
      </c>
      <c r="B10" s="22" t="s">
        <v>376</v>
      </c>
      <c r="C10" s="40" t="s">
        <v>377</v>
      </c>
      <c r="D10" s="40" t="s">
        <v>299</v>
      </c>
      <c r="E10" s="41">
        <v>90.0</v>
      </c>
      <c r="F10" s="42">
        <v>0.15</v>
      </c>
      <c r="G10" s="40" t="str">
        <f t="shared" si="1"/>
        <v>Excellent</v>
      </c>
    </row>
    <row r="11">
      <c r="A11" s="22"/>
      <c r="C11" s="40"/>
      <c r="D11" s="40"/>
      <c r="E11" s="41"/>
      <c r="F11" s="42"/>
    </row>
    <row r="12">
      <c r="A12" s="57" t="s">
        <v>378</v>
      </c>
      <c r="E12" s="32">
        <f>sum(E6:E10)/5</f>
        <v>90</v>
      </c>
      <c r="F12" s="33">
        <v>0.25</v>
      </c>
      <c r="G12" s="66" t="str">
        <f>IF(E12&gt;=90,"Excellent",
IF(E12&gt;=80," Good",
IF(E12&gt;=60," Needs Improvement",
" Poor")))</f>
        <v>Excellent</v>
      </c>
    </row>
    <row r="13">
      <c r="A13" s="5"/>
      <c r="B13" s="5"/>
      <c r="C13" s="5"/>
      <c r="D13" s="5"/>
      <c r="E13" s="5"/>
      <c r="F13" s="5"/>
      <c r="G13" s="5"/>
    </row>
    <row r="14">
      <c r="A14" s="3"/>
      <c r="B14" s="3"/>
      <c r="C14" s="3"/>
      <c r="D14" s="3"/>
      <c r="E14" s="3"/>
      <c r="F14" s="3"/>
      <c r="G14" s="3"/>
    </row>
    <row r="15">
      <c r="A15" s="44" t="s">
        <v>379</v>
      </c>
    </row>
    <row r="16">
      <c r="A16" s="47" t="s">
        <v>80</v>
      </c>
    </row>
    <row r="17">
      <c r="A17" s="46" t="s">
        <v>93</v>
      </c>
      <c r="B17" s="47" t="s">
        <v>94</v>
      </c>
      <c r="C17" s="45" t="s">
        <v>95</v>
      </c>
      <c r="D17" s="45" t="s">
        <v>25</v>
      </c>
      <c r="E17" s="45" t="s">
        <v>6</v>
      </c>
      <c r="F17" s="45" t="s">
        <v>5</v>
      </c>
      <c r="G17" s="47" t="s">
        <v>7</v>
      </c>
    </row>
    <row r="18">
      <c r="A18" s="22" t="str">
        <f>'Level 2'!$B$41</f>
        <v>S2</v>
      </c>
      <c r="B18" s="22" t="s">
        <v>380</v>
      </c>
      <c r="C18" s="40" t="s">
        <v>381</v>
      </c>
      <c r="D18" s="40" t="s">
        <v>81</v>
      </c>
      <c r="E18" s="41">
        <v>85.0</v>
      </c>
      <c r="F18" s="42">
        <v>0.25</v>
      </c>
      <c r="G18" s="40" t="str">
        <f t="shared" ref="G18:G22" si="2">IF(E18&gt;=90,"Excellent",
IF(E18&gt;=80," Good",
IF(E18&gt;=60," Needs Improvement",
" Poor")))</f>
        <v> Good</v>
      </c>
    </row>
    <row r="19">
      <c r="A19" s="22" t="str">
        <f>'Level 2'!$B$41</f>
        <v>S2</v>
      </c>
      <c r="B19" s="22" t="s">
        <v>382</v>
      </c>
      <c r="C19" s="40" t="s">
        <v>383</v>
      </c>
      <c r="D19" s="40" t="s">
        <v>205</v>
      </c>
      <c r="E19" s="41">
        <v>90.0</v>
      </c>
      <c r="F19" s="42">
        <v>0.2</v>
      </c>
      <c r="G19" s="40" t="str">
        <f t="shared" si="2"/>
        <v>Excellent</v>
      </c>
    </row>
    <row r="20">
      <c r="A20" s="22" t="str">
        <f>'Level 2'!$B$41</f>
        <v>S2</v>
      </c>
      <c r="B20" s="22" t="s">
        <v>384</v>
      </c>
      <c r="C20" s="40" t="s">
        <v>385</v>
      </c>
      <c r="D20" s="40" t="s">
        <v>373</v>
      </c>
      <c r="E20" s="41">
        <v>90.0</v>
      </c>
      <c r="F20" s="42">
        <v>0.2</v>
      </c>
      <c r="G20" s="40" t="str">
        <f t="shared" si="2"/>
        <v>Excellent</v>
      </c>
    </row>
    <row r="21">
      <c r="A21" s="22" t="str">
        <f>'Level 2'!$B$41</f>
        <v>S2</v>
      </c>
      <c r="B21" s="22" t="s">
        <v>386</v>
      </c>
      <c r="C21" s="40" t="s">
        <v>387</v>
      </c>
      <c r="D21" s="40" t="s">
        <v>107</v>
      </c>
      <c r="E21" s="41">
        <v>85.0</v>
      </c>
      <c r="F21" s="42">
        <v>0.2</v>
      </c>
      <c r="G21" s="40" t="str">
        <f t="shared" si="2"/>
        <v> Good</v>
      </c>
    </row>
    <row r="22">
      <c r="A22" s="22" t="str">
        <f>'Level 2'!$B$41</f>
        <v>S2</v>
      </c>
      <c r="B22" s="22" t="s">
        <v>388</v>
      </c>
      <c r="C22" s="40" t="s">
        <v>389</v>
      </c>
      <c r="D22" s="40" t="s">
        <v>390</v>
      </c>
      <c r="E22" s="41">
        <v>85.0</v>
      </c>
      <c r="F22" s="42">
        <v>0.15</v>
      </c>
      <c r="G22" s="40" t="str">
        <f t="shared" si="2"/>
        <v> Good</v>
      </c>
    </row>
    <row r="23">
      <c r="A23" s="22"/>
      <c r="B23" s="22"/>
      <c r="C23" s="40"/>
      <c r="D23" s="40"/>
      <c r="E23" s="41"/>
      <c r="F23" s="42"/>
    </row>
    <row r="24">
      <c r="A24" s="51" t="s">
        <v>391</v>
      </c>
      <c r="E24" s="52">
        <f>SUM(E18:E22)/5</f>
        <v>87</v>
      </c>
      <c r="F24" s="53">
        <v>0.2</v>
      </c>
      <c r="G24" s="66" t="str">
        <f>IF(E24&gt;=90,"Excellent",
IF(E24&gt;=80," Good",
IF(E24&gt;=60," Needs Improvement",
" Poor")))</f>
        <v> Good</v>
      </c>
    </row>
    <row r="25">
      <c r="A25" s="37"/>
      <c r="B25" s="37"/>
      <c r="C25" s="37"/>
      <c r="D25" s="37"/>
      <c r="E25" s="38"/>
      <c r="F25" s="55"/>
      <c r="G25" s="56"/>
    </row>
    <row r="26">
      <c r="A26" s="37"/>
      <c r="B26" s="37"/>
      <c r="C26" s="37"/>
      <c r="D26" s="37"/>
      <c r="E26" s="38"/>
      <c r="F26" s="55"/>
      <c r="G26" s="56"/>
    </row>
    <row r="27">
      <c r="A27" s="44" t="s">
        <v>392</v>
      </c>
    </row>
    <row r="28">
      <c r="A28" s="47" t="s">
        <v>83</v>
      </c>
    </row>
    <row r="29">
      <c r="A29" s="46" t="s">
        <v>93</v>
      </c>
      <c r="B29" s="47" t="s">
        <v>94</v>
      </c>
      <c r="C29" s="45" t="s">
        <v>95</v>
      </c>
      <c r="D29" s="45" t="s">
        <v>25</v>
      </c>
      <c r="E29" s="45" t="s">
        <v>6</v>
      </c>
      <c r="F29" s="45" t="s">
        <v>5</v>
      </c>
      <c r="G29" s="47" t="s">
        <v>7</v>
      </c>
    </row>
    <row r="30">
      <c r="A30" s="3" t="str">
        <f>'Level 2'!$B$42</f>
        <v>S3</v>
      </c>
      <c r="B30" s="22" t="s">
        <v>393</v>
      </c>
      <c r="C30" s="40" t="s">
        <v>394</v>
      </c>
      <c r="D30" s="40" t="s">
        <v>84</v>
      </c>
      <c r="E30" s="41">
        <v>95.0</v>
      </c>
      <c r="F30" s="42">
        <v>0.25</v>
      </c>
      <c r="G30" s="40" t="str">
        <f t="shared" ref="G30:G34" si="3">IF(E30&gt;=90,"Excellent",
IF(E30&gt;=80," Good",
IF(E30&gt;=60," Needs Improvement",
" Poor")))</f>
        <v>Excellent</v>
      </c>
    </row>
    <row r="31">
      <c r="A31" s="3" t="str">
        <f>'Level 2'!$B$42</f>
        <v>S3</v>
      </c>
      <c r="B31" s="22" t="s">
        <v>395</v>
      </c>
      <c r="C31" s="40" t="s">
        <v>396</v>
      </c>
      <c r="D31" s="40" t="s">
        <v>373</v>
      </c>
      <c r="E31" s="41">
        <v>95.0</v>
      </c>
      <c r="F31" s="42">
        <v>0.2</v>
      </c>
      <c r="G31" s="40" t="str">
        <f t="shared" si="3"/>
        <v>Excellent</v>
      </c>
    </row>
    <row r="32">
      <c r="A32" s="3" t="str">
        <f>'Level 2'!$B$42</f>
        <v>S3</v>
      </c>
      <c r="B32" s="22" t="s">
        <v>397</v>
      </c>
      <c r="C32" s="40" t="s">
        <v>398</v>
      </c>
      <c r="D32" s="40" t="s">
        <v>78</v>
      </c>
      <c r="E32" s="41">
        <v>90.0</v>
      </c>
      <c r="F32" s="42">
        <v>0.2</v>
      </c>
      <c r="G32" s="40" t="str">
        <f t="shared" si="3"/>
        <v>Excellent</v>
      </c>
    </row>
    <row r="33">
      <c r="A33" s="3" t="str">
        <f>'Level 2'!$B$42</f>
        <v>S3</v>
      </c>
      <c r="B33" s="22" t="s">
        <v>399</v>
      </c>
      <c r="C33" s="40" t="s">
        <v>400</v>
      </c>
      <c r="D33" s="40" t="s">
        <v>171</v>
      </c>
      <c r="E33" s="41">
        <v>90.0</v>
      </c>
      <c r="F33" s="42">
        <v>0.2</v>
      </c>
      <c r="G33" s="40" t="str">
        <f t="shared" si="3"/>
        <v>Excellent</v>
      </c>
    </row>
    <row r="34">
      <c r="A34" s="3" t="str">
        <f>'Level 2'!$B$42</f>
        <v>S3</v>
      </c>
      <c r="B34" s="22" t="s">
        <v>401</v>
      </c>
      <c r="C34" s="40" t="s">
        <v>402</v>
      </c>
      <c r="D34" s="40" t="s">
        <v>148</v>
      </c>
      <c r="E34" s="41">
        <v>90.0</v>
      </c>
      <c r="F34" s="42">
        <v>0.15</v>
      </c>
      <c r="G34" s="40" t="str">
        <f t="shared" si="3"/>
        <v>Excellent</v>
      </c>
    </row>
    <row r="35">
      <c r="A35" s="3"/>
      <c r="B35" s="22"/>
      <c r="C35" s="40"/>
      <c r="D35" s="40"/>
      <c r="E35" s="41"/>
      <c r="F35" s="42"/>
    </row>
    <row r="36">
      <c r="A36" s="57" t="s">
        <v>403</v>
      </c>
      <c r="E36" s="52">
        <f>SUM(E30:E34)/5</f>
        <v>92</v>
      </c>
      <c r="F36" s="53">
        <v>0.2</v>
      </c>
      <c r="G36" s="66" t="str">
        <f>IF(E36&gt;=90,"Excellent",
IF(E36&gt;=80," Good",
IF(E36&gt;=60," Needs Improvement",
" Poor")))</f>
        <v>Excellent</v>
      </c>
    </row>
    <row r="39">
      <c r="A39" s="67" t="s">
        <v>404</v>
      </c>
      <c r="G39" s="59"/>
    </row>
    <row r="40">
      <c r="A40" s="47" t="s">
        <v>86</v>
      </c>
    </row>
    <row r="41">
      <c r="A41" s="60" t="s">
        <v>93</v>
      </c>
      <c r="B41" s="45" t="s">
        <v>94</v>
      </c>
      <c r="C41" s="45" t="s">
        <v>95</v>
      </c>
      <c r="D41" s="45" t="s">
        <v>25</v>
      </c>
      <c r="E41" s="45" t="s">
        <v>6</v>
      </c>
      <c r="F41" s="45" t="s">
        <v>5</v>
      </c>
      <c r="G41" s="45" t="s">
        <v>7</v>
      </c>
    </row>
    <row r="42">
      <c r="A42" s="5" t="str">
        <f>'Level 2'!$B$43</f>
        <v>S4</v>
      </c>
      <c r="B42" s="21" t="s">
        <v>405</v>
      </c>
      <c r="C42" s="40" t="s">
        <v>406</v>
      </c>
      <c r="D42" s="40" t="s">
        <v>407</v>
      </c>
      <c r="E42" s="41">
        <v>95.0</v>
      </c>
      <c r="F42" s="42">
        <v>0.25</v>
      </c>
      <c r="G42" s="40" t="str">
        <f t="shared" ref="G42:G46" si="4">IF(E42&gt;=90,"Excellent",
IF(E42&gt;=80," Good",
IF(E42&gt;=60," Needs Improvement",
" Poor")))</f>
        <v>Excellent</v>
      </c>
    </row>
    <row r="43">
      <c r="A43" s="5" t="str">
        <f>'Level 2'!$B$43</f>
        <v>S4</v>
      </c>
      <c r="B43" s="21" t="s">
        <v>408</v>
      </c>
      <c r="C43" s="40" t="s">
        <v>409</v>
      </c>
      <c r="D43" s="40" t="s">
        <v>410</v>
      </c>
      <c r="E43" s="41">
        <v>90.0</v>
      </c>
      <c r="F43" s="42">
        <v>0.2</v>
      </c>
      <c r="G43" s="40" t="str">
        <f t="shared" si="4"/>
        <v>Excellent</v>
      </c>
    </row>
    <row r="44">
      <c r="A44" s="5" t="str">
        <f>'Level 2'!$B$43</f>
        <v>S4</v>
      </c>
      <c r="B44" s="21" t="s">
        <v>411</v>
      </c>
      <c r="C44" s="40" t="s">
        <v>412</v>
      </c>
      <c r="D44" s="40" t="s">
        <v>413</v>
      </c>
      <c r="E44" s="41">
        <v>90.0</v>
      </c>
      <c r="F44" s="42">
        <v>0.2</v>
      </c>
      <c r="G44" s="40" t="str">
        <f t="shared" si="4"/>
        <v>Excellent</v>
      </c>
    </row>
    <row r="45">
      <c r="A45" s="5" t="str">
        <f>'Level 2'!$B$43</f>
        <v>S4</v>
      </c>
      <c r="B45" s="21" t="s">
        <v>414</v>
      </c>
      <c r="C45" s="40" t="s">
        <v>415</v>
      </c>
      <c r="D45" s="40" t="s">
        <v>69</v>
      </c>
      <c r="E45" s="41">
        <v>85.0</v>
      </c>
      <c r="F45" s="42">
        <v>0.2</v>
      </c>
      <c r="G45" s="40" t="str">
        <f t="shared" si="4"/>
        <v> Good</v>
      </c>
    </row>
    <row r="46">
      <c r="A46" s="5" t="str">
        <f>'Level 2'!$B$43</f>
        <v>S4</v>
      </c>
      <c r="B46" s="21" t="s">
        <v>416</v>
      </c>
      <c r="C46" s="40" t="s">
        <v>417</v>
      </c>
      <c r="D46" s="40" t="s">
        <v>418</v>
      </c>
      <c r="E46" s="41">
        <v>90.0</v>
      </c>
      <c r="F46" s="42">
        <v>0.15</v>
      </c>
      <c r="G46" s="40" t="str">
        <f t="shared" si="4"/>
        <v>Excellent</v>
      </c>
    </row>
    <row r="47">
      <c r="A47" s="5"/>
      <c r="B47" s="21"/>
      <c r="C47" s="40"/>
      <c r="D47" s="40"/>
      <c r="E47" s="41"/>
      <c r="F47" s="42"/>
    </row>
    <row r="48">
      <c r="A48" s="57" t="s">
        <v>419</v>
      </c>
      <c r="E48" s="62">
        <f>SUM(E42:E46)/5</f>
        <v>90</v>
      </c>
      <c r="F48" s="53">
        <v>0.2</v>
      </c>
      <c r="G48" s="66" t="str">
        <f>IF(E48&gt;=90,"Excellent",
IF(E48&gt;=80," Good",
IF(E48&gt;=60," Needs Improvement",
" Poor")))</f>
        <v>Excellent</v>
      </c>
    </row>
    <row r="49">
      <c r="A49" s="3"/>
      <c r="B49" s="3"/>
      <c r="C49" s="3"/>
      <c r="D49" s="3"/>
      <c r="E49" s="3"/>
      <c r="F49" s="3"/>
      <c r="G49" s="3"/>
    </row>
    <row r="51">
      <c r="A51" s="67" t="s">
        <v>420</v>
      </c>
      <c r="G51" s="59"/>
    </row>
    <row r="52">
      <c r="A52" s="47" t="s">
        <v>88</v>
      </c>
    </row>
    <row r="53">
      <c r="A53" s="60" t="s">
        <v>93</v>
      </c>
      <c r="B53" s="45" t="s">
        <v>94</v>
      </c>
      <c r="C53" s="45" t="s">
        <v>95</v>
      </c>
      <c r="D53" s="45" t="s">
        <v>25</v>
      </c>
      <c r="E53" s="45" t="s">
        <v>6</v>
      </c>
      <c r="F53" s="45" t="s">
        <v>5</v>
      </c>
      <c r="G53" s="45" t="s">
        <v>7</v>
      </c>
    </row>
    <row r="54">
      <c r="A54" s="5" t="str">
        <f>'Level 2'!$B$44</f>
        <v>S5</v>
      </c>
      <c r="B54" s="21" t="s">
        <v>421</v>
      </c>
      <c r="C54" s="40" t="s">
        <v>422</v>
      </c>
      <c r="D54" s="40" t="s">
        <v>423</v>
      </c>
      <c r="E54" s="41">
        <v>95.0</v>
      </c>
      <c r="F54" s="42">
        <v>0.25</v>
      </c>
      <c r="G54" s="40" t="str">
        <f t="shared" ref="G54:G58" si="5">IF(E54&gt;=90,"Excellent",
IF(E54&gt;=80," Good",
IF(E54&gt;=60," Needs Improvement",
" Poor")))</f>
        <v>Excellent</v>
      </c>
    </row>
    <row r="55">
      <c r="A55" s="5" t="str">
        <f>'Level 2'!$B$44</f>
        <v>S5</v>
      </c>
      <c r="B55" s="21" t="s">
        <v>424</v>
      </c>
      <c r="C55" s="40" t="s">
        <v>425</v>
      </c>
      <c r="D55" s="40" t="s">
        <v>426</v>
      </c>
      <c r="E55" s="41">
        <v>90.0</v>
      </c>
      <c r="F55" s="42">
        <v>0.2</v>
      </c>
      <c r="G55" s="40" t="str">
        <f t="shared" si="5"/>
        <v>Excellent</v>
      </c>
    </row>
    <row r="56">
      <c r="A56" s="5" t="str">
        <f>'Level 2'!$B$44</f>
        <v>S5</v>
      </c>
      <c r="B56" s="21" t="s">
        <v>427</v>
      </c>
      <c r="C56" s="40" t="s">
        <v>428</v>
      </c>
      <c r="D56" s="40" t="s">
        <v>171</v>
      </c>
      <c r="E56" s="41">
        <v>90.0</v>
      </c>
      <c r="F56" s="42">
        <v>0.2</v>
      </c>
      <c r="G56" s="40" t="str">
        <f t="shared" si="5"/>
        <v>Excellent</v>
      </c>
    </row>
    <row r="57">
      <c r="A57" s="5" t="str">
        <f>'Level 2'!$B$44</f>
        <v>S5</v>
      </c>
      <c r="B57" s="21" t="s">
        <v>429</v>
      </c>
      <c r="C57" s="40" t="s">
        <v>430</v>
      </c>
      <c r="D57" s="40" t="s">
        <v>431</v>
      </c>
      <c r="E57" s="41">
        <v>90.0</v>
      </c>
      <c r="F57" s="42">
        <v>0.2</v>
      </c>
      <c r="G57" s="40" t="str">
        <f t="shared" si="5"/>
        <v>Excellent</v>
      </c>
    </row>
    <row r="58">
      <c r="A58" s="5" t="str">
        <f>'Level 2'!$B$44</f>
        <v>S5</v>
      </c>
      <c r="B58" s="21" t="s">
        <v>432</v>
      </c>
      <c r="C58" s="40" t="s">
        <v>433</v>
      </c>
      <c r="D58" s="40" t="s">
        <v>249</v>
      </c>
      <c r="E58" s="41">
        <v>85.0</v>
      </c>
      <c r="F58" s="42">
        <v>0.15</v>
      </c>
      <c r="G58" s="40" t="str">
        <f t="shared" si="5"/>
        <v> Good</v>
      </c>
    </row>
    <row r="59">
      <c r="A59" s="5"/>
      <c r="B59" s="21"/>
      <c r="C59" s="40"/>
      <c r="D59" s="40"/>
      <c r="E59" s="41"/>
      <c r="F59" s="42"/>
      <c r="G59" s="40"/>
    </row>
    <row r="60">
      <c r="A60" s="57" t="s">
        <v>434</v>
      </c>
      <c r="E60" s="62">
        <f>SUM(E54:E58)/5</f>
        <v>90</v>
      </c>
      <c r="F60" s="53">
        <v>0.15</v>
      </c>
      <c r="G60" s="66" t="str">
        <f>IF(E60&gt;=90,"Excellent",
IF(E60&gt;=80," Good",
IF(E60&gt;=60," Needs Improvement",
" Poor")))</f>
        <v>Excellent</v>
      </c>
    </row>
  </sheetData>
  <mergeCells count="16">
    <mergeCell ref="A1:G1"/>
    <mergeCell ref="A3:G3"/>
    <mergeCell ref="A4:G4"/>
    <mergeCell ref="A12:D12"/>
    <mergeCell ref="A15:G15"/>
    <mergeCell ref="A16:G16"/>
    <mergeCell ref="A24:D24"/>
    <mergeCell ref="A48:D48"/>
    <mergeCell ref="A60:D60"/>
    <mergeCell ref="A27:G27"/>
    <mergeCell ref="A28:G28"/>
    <mergeCell ref="A36:D36"/>
    <mergeCell ref="A39:F39"/>
    <mergeCell ref="A40:G40"/>
    <mergeCell ref="A51:F51"/>
    <mergeCell ref="A52:G52"/>
  </mergeCells>
  <drawing r:id="rId1"/>
</worksheet>
</file>